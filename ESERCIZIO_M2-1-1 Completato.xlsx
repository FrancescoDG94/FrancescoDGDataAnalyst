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OneDrive\Desktop\Master Epicode\Esercizi Completati Modulo M1 - Settimana 1\"/>
    </mc:Choice>
  </mc:AlternateContent>
  <xr:revisionPtr revIDLastSave="0" documentId="13_ncr:1_{7B80D395-9119-4492-9F87-5FABBB4BE2C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10" i="3" l="1"/>
  <c r="I11" i="3"/>
  <c r="I12" i="3"/>
  <c r="I13" i="3"/>
  <c r="I14" i="3"/>
  <c r="I15" i="3"/>
  <c r="I9" i="3"/>
  <c r="I3" i="3"/>
  <c r="I4" i="3"/>
  <c r="I5" i="3"/>
  <c r="I2" i="3"/>
  <c r="H10" i="3"/>
  <c r="H11" i="3"/>
  <c r="H12" i="3"/>
  <c r="H13" i="3"/>
  <c r="H14" i="3"/>
  <c r="H15" i="3"/>
  <c r="H9" i="3"/>
  <c r="H3" i="3"/>
  <c r="H4" i="3"/>
  <c r="H5" i="3"/>
  <c r="H2" i="3"/>
  <c r="C1" i="2"/>
  <c r="C2" i="2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<sst xmlns="http://schemas.openxmlformats.org/spreadsheetml/2006/main" count="822" uniqueCount="580">
  <si>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</si>
  <si>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</si>
  <si>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</si>
  <si>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</si>
  <si>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</si>
  <si>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</si>
  <si>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</si>
  <si>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</si>
  <si>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</si>
  <si>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</si>
  <si>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</si>
  <si>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</si>
  <si>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</si>
  <si>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</si>
  <si>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</si>
  <si>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</si>
  <si>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</si>
  <si>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</si>
  <si>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</si>
  <si>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</si>
  <si>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</si>
  <si>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</si>
  <si>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</si>
  <si>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</si>
  <si>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</si>
  <si>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</si>
  <si>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</si>
  <si>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</si>
  <si>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</si>
  <si>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</si>
  <si>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</si>
  <si>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</si>
  <si>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</si>
  <si>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</si>
  <si>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</si>
  <si>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</si>
  <si>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</si>
  <si>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</si>
  <si>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</si>
  <si>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</si>
  <si>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</si>
  <si>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</si>
  <si>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</si>
  <si>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</si>
  <si>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</si>
  <si>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</si>
  <si>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</si>
  <si>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</si>
  <si>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</si>
  <si>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</si>
  <si>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</si>
  <si>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</si>
  <si>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</si>
  <si>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</si>
  <si>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</si>
  <si>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</si>
  <si>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</si>
  <si>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</si>
  <si>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</si>
  <si>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</si>
  <si>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</si>
  <si>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</si>
  <si>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</si>
  <si>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</si>
  <si>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</si>
  <si>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</si>
  <si>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</si>
  <si>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</si>
  <si>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</si>
  <si>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</si>
  <si>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</si>
  <si>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</si>
  <si>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</si>
  <si>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</si>
  <si>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</si>
  <si>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</si>
  <si>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</si>
  <si>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</si>
  <si>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</si>
  <si>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</si>
  <si>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</si>
  <si>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</si>
  <si>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</si>
  <si>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</si>
  <si>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</si>
  <si>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</si>
  <si>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</si>
  <si>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</si>
  <si>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</si>
  <si>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</si>
  <si>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</si>
  <si>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</si>
  <si>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</si>
  <si>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</si>
  <si>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</si>
  <si>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</si>
  <si>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</si>
  <si>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</si>
  <si>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</si>
  <si>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</si>
  <si>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</si>
  <si>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</si>
  <si>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</si>
  <si>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</si>
  <si>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</si>
  <si>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</si>
  <si>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</si>
  <si>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</si>
  <si>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</si>
  <si>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</si>
  <si>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</si>
  <si>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</si>
  <si>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</si>
  <si>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</si>
  <si>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</si>
  <si>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</si>
  <si>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</si>
  <si>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</si>
  <si>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</si>
  <si>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</si>
  <si>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</si>
  <si>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</si>
  <si>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</si>
  <si>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</si>
  <si>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</si>
  <si>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</si>
  <si>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</si>
  <si>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</si>
  <si>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</si>
  <si>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</si>
  <si>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</si>
  <si>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</si>
  <si>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</si>
  <si>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</si>
  <si>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</si>
  <si>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</si>
  <si>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</si>
  <si>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</si>
  <si>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</si>
  <si>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</si>
  <si>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</si>
  <si>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</si>
  <si>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</si>
  <si>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</si>
  <si>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</si>
  <si>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</si>
  <si>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</si>
  <si>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</si>
  <si>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</si>
  <si>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</si>
  <si>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</si>
  <si>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</si>
  <si>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</si>
  <si>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</si>
  <si>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</si>
  <si>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</si>
  <si>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</si>
  <si>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</si>
  <si>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</si>
  <si>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</si>
  <si>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</si>
  <si>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</si>
  <si>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</si>
  <si>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</si>
  <si>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</si>
  <si>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</si>
  <si>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</si>
  <si>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</si>
  <si>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</si>
  <si>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</si>
  <si>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</si>
  <si>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</si>
  <si>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</si>
  <si>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</si>
  <si>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</si>
  <si>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</si>
  <si>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</si>
  <si>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</si>
  <si>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</si>
  <si>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</si>
  <si>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</si>
  <si>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</si>
  <si>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</si>
  <si>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</si>
  <si>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</si>
  <si>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</si>
  <si>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</si>
  <si>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</si>
  <si>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</si>
  <si>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</si>
  <si>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</si>
  <si>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</si>
  <si>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</si>
  <si>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</si>
  <si>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</si>
  <si>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</si>
  <si>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</si>
  <si>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</si>
  <si>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</si>
  <si>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</si>
  <si>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</si>
  <si>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</si>
  <si>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</si>
  <si>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</si>
  <si>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</si>
  <si>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</si>
  <si>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</si>
  <si>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</si>
  <si>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</si>
  <si>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</si>
  <si>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</si>
  <si>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</si>
  <si>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</si>
  <si>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</si>
  <si>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</si>
  <si>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</si>
  <si>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</si>
  <si>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</si>
  <si>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</si>
  <si>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</si>
  <si>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</si>
  <si>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</si>
  <si>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</si>
  <si>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</si>
  <si>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</si>
  <si>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</si>
  <si>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</si>
  <si>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</si>
  <si>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</si>
  <si>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</si>
  <si>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</si>
  <si>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</si>
  <si>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</si>
  <si>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</si>
  <si>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</si>
  <si>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</si>
  <si>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</si>
  <si>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</si>
  <si>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</si>
  <si>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</si>
  <si>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</si>
  <si>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</si>
  <si>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</si>
  <si>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</si>
  <si>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</si>
  <si>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</si>
  <si>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</si>
  <si>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</si>
  <si>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</si>
  <si>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</si>
  <si>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</si>
  <si>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</si>
  <si>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</si>
  <si>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</si>
  <si>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</si>
  <si>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</si>
  <si>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</si>
  <si>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</si>
  <si>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</si>
  <si>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</si>
  <si>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</si>
  <si>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</si>
  <si>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</si>
  <si>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</si>
  <si>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</si>
  <si>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</si>
  <si>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</si>
  <si>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</si>
  <si>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</si>
  <si>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</si>
  <si>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</si>
  <si>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</si>
  <si>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</si>
  <si>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</si>
  <si>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</si>
  <si>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</si>
  <si>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</si>
  <si>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</si>
  <si>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</si>
  <si>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</si>
  <si>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</si>
  <si>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</si>
  <si>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</si>
  <si>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</si>
  <si>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</si>
  <si>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</si>
  <si>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</si>
  <si>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</si>
  <si>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</si>
  <si>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</si>
  <si>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</si>
  <si>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</si>
  <si>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</si>
  <si>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</si>
  <si>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</si>
  <si>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</si>
  <si>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</si>
  <si>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</si>
  <si>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</si>
  <si>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</si>
  <si>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</si>
  <si>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</si>
  <si>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</si>
  <si>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</si>
  <si>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</si>
  <si>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</si>
  <si>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</si>
  <si>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</si>
  <si>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</si>
  <si>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</si>
  <si>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</si>
  <si>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</si>
  <si>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</si>
  <si>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</si>
  <si>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</si>
  <si>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</si>
  <si>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</si>
  <si>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</si>
  <si>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</si>
  <si>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</si>
  <si>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</si>
  <si>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</si>
  <si>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</si>
  <si>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</si>
  <si>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</si>
  <si>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</si>
  <si>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</si>
  <si>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</si>
  <si>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</si>
  <si>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</si>
  <si>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</si>
  <si>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</si>
  <si>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</si>
  <si>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</si>
  <si>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</si>
  <si>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</si>
  <si>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</si>
  <si>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</si>
  <si>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</si>
  <si>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</si>
  <si>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</si>
  <si>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</si>
  <si>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</si>
  <si>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</si>
  <si>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</si>
  <si>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</si>
  <si>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</si>
  <si>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</si>
  <si>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</si>
  <si>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</si>
  <si>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</si>
  <si>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</si>
  <si>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</si>
  <si>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</si>
  <si>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</si>
  <si>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</si>
  <si>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</si>
  <si>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</si>
  <si>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</si>
  <si>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</si>
  <si>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</si>
  <si>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</si>
  <si>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</si>
  <si>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</si>
  <si>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</si>
  <si>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</si>
  <si>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</si>
  <si>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</si>
  <si>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</si>
  <si>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</si>
  <si>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</si>
  <si>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</si>
  <si>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</si>
  <si>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</si>
  <si>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</si>
  <si>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</si>
  <si>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</si>
  <si>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</si>
  <si>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</si>
  <si>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</si>
  <si>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</si>
  <si>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</si>
  <si>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</si>
  <si>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</si>
  <si>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</si>
  <si>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</si>
  <si>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</si>
  <si>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</si>
  <si>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</si>
  <si>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</si>
  <si>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</si>
  <si>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</si>
  <si>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</si>
  <si>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</si>
  <si>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</si>
  <si>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</si>
  <si>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</si>
  <si>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</si>
  <si>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</si>
  <si>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</si>
  <si>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</si>
  <si>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</si>
  <si>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</si>
  <si>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</si>
  <si>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</si>
  <si>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</si>
  <si>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</si>
  <si>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</si>
  <si>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</si>
  <si>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</si>
  <si>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</si>
  <si>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</si>
  <si>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</si>
  <si>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</si>
  <si>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</si>
  <si>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</si>
  <si>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</si>
  <si>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</si>
  <si>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</si>
  <si>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</si>
  <si>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</si>
  <si>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</si>
  <si>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</si>
  <si>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</si>
  <si>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</si>
  <si>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</si>
  <si>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</si>
  <si>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</si>
  <si>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</si>
  <si>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</si>
  <si>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</si>
  <si>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</si>
  <si>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</si>
  <si>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</si>
  <si>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</si>
  <si>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</si>
  <si>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</si>
  <si>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</si>
  <si>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</si>
  <si>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</si>
  <si>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</si>
  <si>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</si>
  <si>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</si>
  <si>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</si>
  <si>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</si>
  <si>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</si>
  <si>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</si>
  <si>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</si>
  <si>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</si>
  <si>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</si>
  <si>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</si>
  <si>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</si>
  <si>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</si>
  <si>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</si>
  <si>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</si>
  <si>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</si>
  <si>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</si>
  <si>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</si>
  <si>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</si>
  <si>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</si>
  <si>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</si>
  <si>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</si>
  <si>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</si>
  <si>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</si>
  <si>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</si>
  <si>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</si>
  <si>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</si>
  <si>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</si>
  <si>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</si>
  <si>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</si>
  <si>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</si>
  <si>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</si>
  <si>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</si>
  <si>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</si>
  <si>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</si>
  <si>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</si>
  <si>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</si>
  <si>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</si>
  <si>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</si>
  <si>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</si>
  <si>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</si>
  <si>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</si>
  <si>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</si>
  <si>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</si>
  <si>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</si>
  <si>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</si>
  <si>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</si>
  <si>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</si>
  <si>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</si>
  <si>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</si>
  <si>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</si>
  <si>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</si>
  <si>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</si>
  <si>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</si>
  <si>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</si>
  <si>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</si>
  <si>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</si>
  <si>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</si>
  <si>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</si>
  <si>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</si>
  <si>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</si>
  <si>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</si>
  <si>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</si>
  <si>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</si>
  <si>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</si>
  <si>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</si>
  <si>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</si>
  <si>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</si>
  <si>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</si>
  <si>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</si>
  <si>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</si>
  <si>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</si>
  <si>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</si>
  <si>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</si>
  <si>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</si>
  <si>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</si>
  <si>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</si>
  <si>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</si>
  <si>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</si>
  <si>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</si>
  <si>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</si>
  <si>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</si>
  <si>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</si>
  <si>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</si>
  <si>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</si>
  <si>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</si>
  <si>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</si>
  <si>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</si>
  <si>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</si>
  <si>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</si>
  <si>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</si>
  <si>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</si>
  <si>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</si>
  <si>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</si>
  <si>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</si>
  <si>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</si>
  <si>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</si>
  <si>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</si>
  <si>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</si>
  <si>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</si>
  <si>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</si>
  <si>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</si>
  <si>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</si>
  <si>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</si>
  <si>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</si>
  <si>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</si>
  <si>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</si>
  <si>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</si>
  <si>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</si>
  <si>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</si>
  <si>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</si>
  <si>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</si>
  <si>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</si>
  <si>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</si>
  <si>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</si>
  <si>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</si>
  <si>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</si>
  <si>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</si>
  <si>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</si>
  <si>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</si>
  <si>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</si>
  <si>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</si>
  <si>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</si>
  <si>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</si>
  <si>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</si>
  <si>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</si>
  <si>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</si>
  <si>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</si>
  <si>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</si>
  <si>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</si>
  <si>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 + Desk</t>
  </si>
  <si>
    <t>Sufficiente</t>
  </si>
  <si>
    <t>Discreto</t>
  </si>
  <si>
    <t>Buono</t>
  </si>
  <si>
    <t>Respinto</t>
  </si>
  <si>
    <t>Esito</t>
  </si>
  <si>
    <t xml:space="preserve">N.Fatture </t>
  </si>
  <si>
    <t>Fatturato Totale</t>
  </si>
  <si>
    <t xml:space="preserve">Clienti </t>
  </si>
  <si>
    <t xml:space="preserve">N. Fatture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</si>
</sst>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#,##0.00\ &quot;€&quot;"/>
  </numFmts>
  <fonts count="14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3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4" fillId="0" borderId="2" xfId="0" applyFont="1" applyBorder="1"/>
    <xf numFmtId="0" fontId="9" fillId="0" borderId="2" xfId="0" applyFont="1" applyBorder="1"/>
    <xf numFmtId="0" fontId="9" fillId="0" borderId="3" xfId="0" applyFont="1" applyBorder="1"/>
    <xf numFmtId="0" fontId="6" fillId="0" borderId="2" xfId="0" applyFont="1" applyBorder="1"/>
    <xf numFmtId="0" fontId="0" fillId="0" borderId="2" xfId="0" applyBorder="1"/>
    <xf numFmtId="0" fontId="11" fillId="0" borderId="8" xfId="0" applyFont="1" applyBorder="1"/>
    <xf numFmtId="0" fontId="11" fillId="0" borderId="7" xfId="0" applyFont="1" applyBorder="1"/>
    <xf numFmtId="0" fontId="11" fillId="0" borderId="2" xfId="0" applyFont="1" applyBorder="1"/>
    <xf numFmtId="0" fontId="11" fillId="0" borderId="4" xfId="0" applyFont="1" applyBorder="1"/>
    <xf numFmtId="0" fontId="12" fillId="0" borderId="5" xfId="0" applyFont="1" applyFill="1" applyBorder="1"/>
    <xf numFmtId="0" fontId="13" fillId="0" borderId="2" xfId="0" applyFont="1" applyBorder="1"/>
    <xf numFmtId="168" fontId="0" fillId="0" borderId="2" xfId="0" applyNumberFormat="1" applyBorder="1"/>
    <xf numFmtId="44" fontId="13" fillId="0" borderId="6" xfId="1" applyFont="1" applyBorder="1"/>
    <xf numFmtId="44" fontId="0" fillId="0" borderId="2" xfId="1" applyFont="1" applyBorder="1"/>
  </cellXfs>
  <cellStyles count="2">
    <cellStyle name="Normale" xfId="0" builtinId="0"/>
    <cellStyle name="Valuta" xfId="1" builtinId="4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VLOOKUP(Table_1[[#This Row],[Column2]],E:F,2,FALSE)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F2" sqref="F2:F3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5.796875" customWidth="1"/>
    <col min="5" max="5" width="96.5" customWidth="1"/>
    <col min="6" max="6" width="5.59765625" customWidth="1"/>
    <col min="7" max="7" width="7.09765625" customWidth="1"/>
    <col min="8" max="26" width="8.699218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15" t="s">
        <v>569</v>
      </c>
      <c r="E1" s="16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C2*0.2</f>
        <v>56200</v>
      </c>
      <c r="E2" s="4" t="str">
        <f>_xlfn.CONCAT(A2, 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C3*0.2</f>
        <v>64600</v>
      </c>
      <c r="E3" s="4" t="str">
        <f t="shared" ref="E3:E66" si="1">_xlfn.CONCAT(A3, 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C67*0.2</f>
        <v>100200</v>
      </c>
      <c r="E67" s="4" t="str">
        <f t="shared" ref="E67:E130" si="3">_xlfn.CONCAT(A67, 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C131*0.2</f>
        <v>19400</v>
      </c>
      <c r="E131" s="4" t="str">
        <f t="shared" ref="E131:E194" si="5">_xlfn.CONCAT(A131, 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C195*0.2</f>
        <v>2200</v>
      </c>
      <c r="E195" s="4" t="str">
        <f t="shared" ref="E195:E258" si="7">_xlfn.CONCAT(A195, 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C259*0.2</f>
        <v>45400</v>
      </c>
      <c r="E259" s="4" t="str">
        <f t="shared" ref="E259:E322" si="9">_xlfn.CONCAT(A259, 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C323*0.2</f>
        <v>16000</v>
      </c>
      <c r="E323" s="4" t="str">
        <f t="shared" ref="E323:E337" si="11">_xlfn.CONCAT(A323, 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G12" sqref="G12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11.19921875" customWidth="1"/>
    <col min="6" max="6" width="13" customWidth="1"/>
    <col min="7" max="7" width="14.296875" customWidth="1"/>
    <col min="8" max="8" width="8" customWidth="1"/>
    <col min="9" max="26" width="9.296875" customWidth="1"/>
  </cols>
  <sheetData>
    <row r="1" spans="1:26" ht="12.75" customHeight="1" thickBot="1" x14ac:dyDescent="0.35">
      <c r="A1" s="6" t="s">
        <v>484</v>
      </c>
      <c r="B1" s="6" t="s">
        <v>485</v>
      </c>
      <c r="C1" s="6" t="str">
        <f>VLOOKUP(Table_1[[#This Row],[Column2]],E:F,2,FALSE)</f>
        <v>Esito</v>
      </c>
      <c r="D1" s="4"/>
      <c r="E1" s="17" t="s">
        <v>485</v>
      </c>
      <c r="F1" s="18" t="s">
        <v>575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thickBot="1" x14ac:dyDescent="0.35">
      <c r="A2" s="7" t="s">
        <v>486</v>
      </c>
      <c r="B2" s="7">
        <v>40</v>
      </c>
      <c r="C2" s="7" t="str">
        <f>VLOOKUP(Table_1[[#This Row],[Column2]],E:F,2,FALSE)</f>
        <v>Sufficiente</v>
      </c>
      <c r="D2" s="8"/>
      <c r="E2" s="19">
        <v>40</v>
      </c>
      <c r="F2" s="20" t="s">
        <v>571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thickBot="1" x14ac:dyDescent="0.35">
      <c r="A3" s="7" t="s">
        <v>487</v>
      </c>
      <c r="B3" s="7">
        <v>60</v>
      </c>
      <c r="C3" s="7" t="str">
        <f>VLOOKUP(Table_1[[#This Row],[Column2]],E:F,2,FALSE)</f>
        <v>Discreto</v>
      </c>
      <c r="E3" s="19">
        <v>60</v>
      </c>
      <c r="F3" s="20" t="s">
        <v>572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thickBot="1" x14ac:dyDescent="0.35">
      <c r="A4" s="7" t="s">
        <v>488</v>
      </c>
      <c r="B4" s="7">
        <v>60</v>
      </c>
      <c r="C4" s="7" t="str">
        <f>VLOOKUP(Table_1[[#This Row],[Column2]],E:F,2,FALSE)</f>
        <v>Discreto</v>
      </c>
      <c r="E4" s="19">
        <v>70</v>
      </c>
      <c r="F4" s="20" t="s">
        <v>573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thickBot="1" x14ac:dyDescent="0.35">
      <c r="A5" s="7" t="s">
        <v>489</v>
      </c>
      <c r="B5" s="7">
        <v>40</v>
      </c>
      <c r="C5" s="7" t="str">
        <f>VLOOKUP(Table_1[[#This Row],[Column2]],E:F,2,FALSE)</f>
        <v>Sufficiente</v>
      </c>
      <c r="E5" s="19">
        <v>0</v>
      </c>
      <c r="F5" s="21" t="s">
        <v>574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Row],[Column2]],E:F,2,FALSE)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Row],[Column2]],E:F,2,FALSE)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Row],[Column2]],E:F,2,FALSE)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H19" sqref="H19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1.69921875" customWidth="1"/>
    <col min="6" max="6" width="3.796875" customWidth="1"/>
    <col min="7" max="7" width="15" customWidth="1"/>
    <col min="8" max="8" width="20.69921875" customWidth="1"/>
    <col min="9" max="9" width="19.59765625" customWidth="1"/>
    <col min="10" max="24" width="8.69921875" customWidth="1"/>
  </cols>
  <sheetData>
    <row r="1" spans="1:24" ht="13.5" customHeight="1" thickBot="1" x14ac:dyDescent="0.4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22" t="s">
        <v>495</v>
      </c>
      <c r="H1" s="22" t="s">
        <v>576</v>
      </c>
      <c r="I1" s="22" t="s">
        <v>577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thickBot="1" x14ac:dyDescent="0.35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26" t="s">
        <v>499</v>
      </c>
      <c r="H2" s="23">
        <f>COUNTIF($C$2:$C$80,G2)</f>
        <v>11</v>
      </c>
      <c r="I2" s="30">
        <f>SUMIF($C$2:$C$80,G2,$D$2:$D$80)</f>
        <v>611780</v>
      </c>
    </row>
    <row r="3" spans="1:24" ht="13.5" customHeight="1" thickBot="1" x14ac:dyDescent="0.35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26" t="s">
        <v>558</v>
      </c>
      <c r="H3" s="23">
        <f t="shared" ref="H3:H5" si="0">COUNTIF($C$2:$C$80,G3)</f>
        <v>5</v>
      </c>
      <c r="I3" s="30">
        <f t="shared" ref="I3:I5" si="1">SUMIF($C$2:$C$80,G3,$D$2:$D$80)</f>
        <v>30860</v>
      </c>
    </row>
    <row r="4" spans="1:24" ht="13.5" customHeight="1" thickBot="1" x14ac:dyDescent="0.35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26" t="s">
        <v>506</v>
      </c>
      <c r="H4" s="23">
        <f t="shared" si="0"/>
        <v>4</v>
      </c>
      <c r="I4" s="30">
        <f t="shared" si="1"/>
        <v>54000</v>
      </c>
    </row>
    <row r="5" spans="1:24" ht="13.5" customHeight="1" thickBot="1" x14ac:dyDescent="0.35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27" t="s">
        <v>547</v>
      </c>
      <c r="H5" s="23">
        <f t="shared" si="0"/>
        <v>4</v>
      </c>
      <c r="I5" s="30">
        <f t="shared" si="1"/>
        <v>6765600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thickBot="1" x14ac:dyDescent="0.35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</row>
    <row r="8" spans="1:24" ht="13.5" customHeight="1" thickBot="1" x14ac:dyDescent="0.45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28" t="s">
        <v>578</v>
      </c>
      <c r="H8" s="29" t="s">
        <v>579</v>
      </c>
      <c r="I8" s="31" t="s">
        <v>577</v>
      </c>
    </row>
    <row r="9" spans="1:24" ht="13.5" customHeight="1" thickBot="1" x14ac:dyDescent="0.35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26" t="s">
        <v>501</v>
      </c>
      <c r="H9" s="23">
        <f>COUNTIF($B$2:$B$80,G9)</f>
        <v>2</v>
      </c>
      <c r="I9" s="32">
        <f>SUMIF($B$2:$B$80,G9,$D$2:$D$80)</f>
        <v>73450</v>
      </c>
    </row>
    <row r="10" spans="1:24" ht="13.5" customHeight="1" thickBot="1" x14ac:dyDescent="0.35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25" t="s">
        <v>507</v>
      </c>
      <c r="H10" s="23">
        <f t="shared" ref="H10:H15" si="2">COUNTIF($B$2:$B$80,G10)</f>
        <v>1</v>
      </c>
      <c r="I10" s="32">
        <f t="shared" ref="I10:I15" si="3">SUMIF($B$2:$B$80,G10,$D$2:$D$80)</f>
        <v>50800</v>
      </c>
    </row>
    <row r="11" spans="1:24" ht="13.5" customHeight="1" thickBot="1" x14ac:dyDescent="0.35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24" t="s">
        <v>509</v>
      </c>
      <c r="H11" s="23">
        <f t="shared" si="2"/>
        <v>1</v>
      </c>
      <c r="I11" s="32">
        <f t="shared" si="3"/>
        <v>98450</v>
      </c>
    </row>
    <row r="12" spans="1:24" ht="13.5" customHeight="1" thickBot="1" x14ac:dyDescent="0.35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24" t="s">
        <v>511</v>
      </c>
      <c r="H12" s="23">
        <f t="shared" si="2"/>
        <v>1</v>
      </c>
      <c r="I12" s="32">
        <f t="shared" si="3"/>
        <v>7950</v>
      </c>
    </row>
    <row r="13" spans="1:24" ht="13.5" customHeight="1" thickBot="1" x14ac:dyDescent="0.35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24" t="s">
        <v>525</v>
      </c>
      <c r="H13" s="23">
        <f t="shared" si="2"/>
        <v>4</v>
      </c>
      <c r="I13" s="32">
        <f t="shared" si="3"/>
        <v>283000</v>
      </c>
    </row>
    <row r="14" spans="1:24" ht="13.5" customHeight="1" thickBot="1" x14ac:dyDescent="0.35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24" t="s">
        <v>528</v>
      </c>
      <c r="H14" s="23">
        <f t="shared" si="2"/>
        <v>2</v>
      </c>
      <c r="I14" s="32">
        <f t="shared" si="3"/>
        <v>107700</v>
      </c>
    </row>
    <row r="15" spans="1:24" ht="13.5" customHeight="1" thickBot="1" x14ac:dyDescent="0.35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s="24" t="s">
        <v>529</v>
      </c>
      <c r="H15" s="23">
        <f t="shared" si="2"/>
        <v>1</v>
      </c>
      <c r="I15" s="32">
        <f t="shared" si="3"/>
        <v>27270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Della Gatta</dc:creator>
  <cp:lastModifiedBy>Francesco Della Gatta</cp:lastModifiedBy>
  <dcterms:created xsi:type="dcterms:W3CDTF">2005-04-12T12:35:30Z</dcterms:created>
  <dcterms:modified xsi:type="dcterms:W3CDTF">2025-11-02T16:58:03Z</dcterms:modified>
</cp:coreProperties>
</file>