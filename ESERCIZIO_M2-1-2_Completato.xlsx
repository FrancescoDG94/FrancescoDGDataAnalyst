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13_ncr:1_{A4031165-EBC3-453E-936F-E9435A70C23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14" i="2"/>
  <c r="E13" i="2"/>
  <c r="E12" i="2"/>
  <c r="E11" i="2"/>
  <c r="E10" i="2"/>
  <c r="E6" i="2"/>
  <c r="E5" i="2"/>
  <c r="E4" i="2"/>
  <c r="E3" i="2"/>
  <c r="E2" i="2"/>
  <c r="D3" i="1" l="1" a="1"/>
  <c r="D3" i="1" s="1"/>
  <c r="D4" i="1" a="1"/>
  <c r="D4" i="1" s="1"/>
  <c r="D5" i="1" a="1"/>
  <c r="D5" i="1" s="1"/>
  <c r="D6" i="1" a="1"/>
  <c r="D6" i="1"/>
  <c r="D7" i="1" a="1"/>
  <c r="D7" i="1" s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 s="1"/>
  <c r="D14" i="1" a="1"/>
  <c r="D14" i="1"/>
  <c r="D15" i="1" a="1"/>
  <c r="D15" i="1" s="1"/>
  <c r="D16" i="1" a="1"/>
  <c r="D16" i="1" s="1"/>
  <c r="D17" i="1" a="1"/>
  <c r="D17" i="1" s="1"/>
  <c r="D18" i="1" a="1"/>
  <c r="D18" i="1" s="1"/>
  <c r="D19" i="1" a="1"/>
  <c r="D19" i="1"/>
  <c r="D20" i="1" a="1"/>
  <c r="D20" i="1"/>
  <c r="D21" i="1" a="1"/>
  <c r="D21" i="1" s="1"/>
  <c r="D22" i="1" a="1"/>
  <c r="D22" i="1"/>
  <c r="D23" i="1" a="1"/>
  <c r="D23" i="1"/>
  <c r="D24" i="1" a="1"/>
  <c r="D24" i="1"/>
  <c r="D25" i="1" a="1"/>
  <c r="D25" i="1"/>
  <c r="D26" i="1" a="1"/>
  <c r="D26" i="1" s="1"/>
  <c r="D27" i="1" a="1"/>
  <c r="D27" i="1" s="1"/>
  <c r="D28" i="1" a="1"/>
  <c r="D28" i="1" s="1"/>
  <c r="D29" i="1" a="1"/>
  <c r="D29" i="1" s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 s="1"/>
  <c r="D40" i="1" a="1"/>
  <c r="D40" i="1" s="1"/>
  <c r="D41" i="1" a="1"/>
  <c r="D41" i="1" s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 s="1"/>
  <c r="D52" i="1" a="1"/>
  <c r="D52" i="1" s="1"/>
  <c r="D53" i="1" a="1"/>
  <c r="D53" i="1" s="1"/>
  <c r="D54" i="1" a="1"/>
  <c r="D54" i="1"/>
  <c r="D55" i="1" a="1"/>
  <c r="D55" i="1" s="1"/>
  <c r="D56" i="1" a="1"/>
  <c r="D56" i="1"/>
  <c r="D57" i="1" a="1"/>
  <c r="D57" i="1"/>
  <c r="D58" i="1" a="1"/>
  <c r="D58" i="1"/>
  <c r="D59" i="1" a="1"/>
  <c r="D59" i="1"/>
  <c r="D60" i="1" a="1"/>
  <c r="D60" i="1" s="1"/>
  <c r="D61" i="1" a="1"/>
  <c r="D61" i="1"/>
  <c r="D62" i="1" a="1"/>
  <c r="D62" i="1"/>
  <c r="D63" i="1" a="1"/>
  <c r="D63" i="1" s="1"/>
  <c r="D64" i="1" a="1"/>
  <c r="D64" i="1" s="1"/>
  <c r="D65" i="1" a="1"/>
  <c r="D65" i="1" s="1"/>
  <c r="D66" i="1" a="1"/>
  <c r="D66" i="1"/>
  <c r="D67" i="1" a="1"/>
  <c r="D67" i="1"/>
  <c r="D68" i="1" a="1"/>
  <c r="D68" i="1"/>
  <c r="D69" i="1" a="1"/>
  <c r="D69" i="1"/>
  <c r="D70" i="1" a="1"/>
  <c r="D70" i="1" s="1"/>
  <c r="D71" i="1" a="1"/>
  <c r="D71" i="1"/>
  <c r="D72" i="1" a="1"/>
  <c r="D72" i="1"/>
  <c r="D73" i="1" a="1"/>
  <c r="D73" i="1"/>
  <c r="D74" i="1" a="1"/>
  <c r="D74" i="1"/>
  <c r="D75" i="1" a="1"/>
  <c r="D75" i="1" s="1"/>
  <c r="D76" i="1" a="1"/>
  <c r="D76" i="1" s="1"/>
  <c r="D77" i="1" a="1"/>
  <c r="D77" i="1" s="1"/>
  <c r="D78" i="1" a="1"/>
  <c r="D78" i="1"/>
  <c r="D79" i="1" a="1"/>
  <c r="D79" i="1"/>
  <c r="D80" i="1" a="1"/>
  <c r="D80" i="1"/>
  <c r="D81" i="1" a="1"/>
  <c r="D81" i="1" s="1"/>
  <c r="D82" i="1" a="1"/>
  <c r="D82" i="1"/>
  <c r="D83" i="1" a="1"/>
  <c r="D83" i="1"/>
  <c r="D84" i="1" a="1"/>
  <c r="D84" i="1"/>
  <c r="D85" i="1" a="1"/>
  <c r="D85" i="1"/>
  <c r="D86" i="1" a="1"/>
  <c r="D86" i="1" s="1"/>
  <c r="D87" i="1" a="1"/>
  <c r="D87" i="1" s="1"/>
  <c r="D88" i="1" a="1"/>
  <c r="D88" i="1" s="1"/>
  <c r="D89" i="1" a="1"/>
  <c r="D89" i="1" s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 s="1"/>
  <c r="D100" i="1" a="1"/>
  <c r="D100" i="1" s="1"/>
  <c r="D101" i="1" a="1"/>
  <c r="D101" i="1" s="1"/>
  <c r="D2" i="1" a="1"/>
  <c r="D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/>
  <c r="C32" i="1" a="1"/>
  <c r="C32" i="1"/>
  <c r="C33" i="1" a="1"/>
  <c r="C33" i="1"/>
  <c r="C34" i="1" a="1"/>
  <c r="C34" i="1" s="1"/>
  <c r="C35" i="1" a="1"/>
  <c r="C35" i="1" s="1"/>
  <c r="C36" i="1" a="1"/>
  <c r="C36" i="1" s="1"/>
  <c r="C37" i="1" a="1"/>
  <c r="C37" i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/>
  <c r="C46" i="1" a="1"/>
  <c r="C46" i="1" s="1"/>
  <c r="C47" i="1" a="1"/>
  <c r="C47" i="1"/>
  <c r="C48" i="1" a="1"/>
  <c r="C48" i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/>
  <c r="C56" i="1" a="1"/>
  <c r="C56" i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/>
  <c r="C68" i="1" a="1"/>
  <c r="C68" i="1"/>
  <c r="C69" i="1" a="1"/>
  <c r="C69" i="1"/>
  <c r="C70" i="1" a="1"/>
  <c r="C70" i="1"/>
  <c r="C71" i="1" a="1"/>
  <c r="C71" i="1" s="1"/>
  <c r="C72" i="1" a="1"/>
  <c r="C72" i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/>
  <c r="C80" i="1" a="1"/>
  <c r="C80" i="1" s="1"/>
  <c r="C81" i="1" a="1"/>
  <c r="C81" i="1" s="1"/>
  <c r="C82" i="1" a="1"/>
  <c r="C82" i="1"/>
  <c r="C83" i="1" a="1"/>
  <c r="C83" i="1"/>
  <c r="C84" i="1" a="1"/>
  <c r="C84" i="1"/>
  <c r="C85" i="1" a="1"/>
  <c r="C85" i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/>
  <c r="C97" i="1" a="1"/>
  <c r="C97" i="1"/>
  <c r="C98" i="1" a="1"/>
  <c r="C98" i="1"/>
  <c r="C99" i="1" a="1"/>
  <c r="C99" i="1" s="1"/>
  <c r="C100" i="1" a="1"/>
  <c r="C100" i="1" s="1"/>
  <c r="C101" i="1" a="1"/>
  <c r="C101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<sst xmlns="http://schemas.openxmlformats.org/spreadsheetml/2006/main" count="172" uniqueCount="118">
  <si>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</si>
  <si>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</si>
  <si>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</si>
  <si>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</si>
  <si>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</si>
  <si>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</si>
  <si>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</si>
  <si>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</si>
  <si>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</si>
  <si>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</si>
  <si>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</si>
  <si>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</si>
  <si>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</si>
  <si>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</si>
  <si>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</si>
  <si>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</si>
  <si>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</si>
  <si>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</si>
  <si>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</si>
  <si>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</si>
  <si>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</si>
  <si>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</si>
  <si>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</si>
  <si>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</si>
  <si>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</si>
  <si>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</si>
  <si>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</si>
  <si>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</si>
  <si>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</si>
  <si>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</si>
  <si>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</si>
  <si>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</si>
  <si>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</si>
  <si>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</si>
  <si>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</si>
  <si>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</si>
  <si>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</si>
  <si>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</si>
  <si>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</si>
  <si>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</si>
  <si>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</si>
  <si>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</si>
  <si>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</si>
  <si>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</si>
  <si>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</si>
  <si>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</si>
  <si>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</si>
  <si>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</si>
  <si>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</si>
  <si>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</si>
  <si>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</si>
  <si>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</si>
  <si>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</si>
  <si>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</si>
  <si>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</si>
  <si>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</si>
  <si>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</si>
  <si>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</si>
  <si>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</si>
  <si>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</si>
  <si>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</si>
  <si>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</si>
  <si>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</si>
  <si>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</si>
  <si>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</si>
  <si>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</si>
  <si>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</si>
  <si>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</si>
  <si>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</si>
  <si>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</si>
  <si>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</si>
  <si>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</si>
  <si>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</si>
  <si>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</si>
  <si>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</si>
  <si>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</si>
  <si>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</si>
  <si>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</si>
  <si>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</si>
  <si>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</si>
  <si>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</si>
  <si>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</si>
  <si>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</si>
  <si>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</si>
  <si>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</si>
  <si>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</si>
  <si>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</si>
  <si>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</si>
  <si>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</si>
  <si>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</si>
  <si>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</si>
  <si>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</si>
  <si>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</si>
  <si>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</si>
  <si>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</si>
  <si>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</si>
  <si>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</si>
  <si>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</si>
  <si>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</si>
  <si>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</si>
  <si>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</si>
  <si>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</si>
  <si>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</si>
  <si>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</si>
  <si>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</si>
  <si>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</si>
  <si>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</si>
  <si>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</si>
  <si>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</si>
  <si>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</si>
  <si>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 xml:space="preserve">Categoria </t>
  </si>
  <si>
    <t xml:space="preserve">     Orario</t>
  </si>
  <si>
    <t>Costo orario</t>
  </si>
  <si>
    <t>Frutto</t>
  </si>
  <si>
    <t>Conteggio</t>
  </si>
  <si>
    <t>SOGGETTO</t>
  </si>
  <si>
    <t>MELA</t>
  </si>
  <si>
    <t>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</si>
</sst>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0" fillId="0" borderId="0" xfId="0" applyNumberFormat="1"/>
    <xf numFmtId="44" fontId="1" fillId="0" borderId="0" xfId="1" applyFont="1"/>
    <xf numFmtId="44" fontId="0" fillId="0" borderId="0" xfId="1" applyFont="1"/>
    <xf numFmtId="2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"/>
  <sheetViews>
    <sheetView workbookViewId="0">
      <selection activeCell="C2" sqref="C2"/>
    </sheetView>
  </sheetViews>
  <sheetFormatPr defaultColWidth="12.6328125" defaultRowHeight="15.75" customHeight="1" x14ac:dyDescent="0.25"/>
  <cols>
    <col min="2" max="2" width="25.36328125" style="4" customWidth="1"/>
    <col min="3" max="3" width="33.453125" customWidth="1"/>
    <col min="4" max="4" width="22.7265625" style="9" customWidth="1"/>
    <col min="6" max="6" width="20.1796875" customWidth="1"/>
    <col min="7" max="7" width="12.6328125" style="4"/>
    <col min="8" max="8" width="12.6328125" style="6"/>
  </cols>
  <sheetData>
    <row r="1" spans="1:25" ht="14" x14ac:dyDescent="0.3">
      <c r="A1" s="1" t="s">
        <v>0</v>
      </c>
      <c r="B1" s="3" t="s">
        <v>1</v>
      </c>
      <c r="C1" s="1" t="s">
        <v>2</v>
      </c>
      <c r="D1" s="8" t="s">
        <v>3</v>
      </c>
      <c r="E1" s="1"/>
      <c r="F1" s="1" t="s">
        <v>110</v>
      </c>
      <c r="G1" s="3" t="s">
        <v>111</v>
      </c>
      <c r="H1" s="5" t="s">
        <v>112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2" t="s">
        <v>4</v>
      </c>
      <c r="B2" s="7">
        <v>1.5</v>
      </c>
      <c r="C2" cm="1">
        <f t="array" ref="C2">_xlfn.IFS(A2&lt;= "F", $F$2, A2 &lt;= "M", $F$3, A2 &lt;= "Z",$F$4)</f>
        <v>0</v>
      </c>
      <c r="D2" s="9" cm="1">
        <f t="array" ref="D2">_xlfn.IFS(C2=$F$2,B2*($H$2/$G$2), C2=$F$3,B2*($H$3/$G$3),C2=$F$4,B2*($H$4/$G$4))</f>
        <v>6</v>
      </c>
      <c r="F2">
        <v>0</v>
      </c>
      <c r="G2" s="4">
        <v>0.5</v>
      </c>
      <c r="H2" s="6">
        <v>2</v>
      </c>
    </row>
    <row r="3" spans="1:25" ht="15.75" customHeight="1" x14ac:dyDescent="0.25">
      <c r="A3" s="2" t="s">
        <v>5</v>
      </c>
      <c r="B3" s="7">
        <v>2.5</v>
      </c>
      <c r="C3" cm="1">
        <f t="array" ref="C3">_xlfn.IFS(A3&lt;= "F", $F$2, A3 &lt;= "M", $F$3, A3 &lt;= "Z",$F$4)</f>
        <v>1</v>
      </c>
      <c r="D3" s="9" cm="1">
        <f t="array" ref="D3">_xlfn.IFS(C3=$F$2,B3*($H$2/$G$2), C3=$F$3,B3*($H$3/$G$3),C3=$F$4,B3*($H$4/$G$4))</f>
        <v>7.5</v>
      </c>
      <c r="F3">
        <v>1</v>
      </c>
      <c r="G3" s="4">
        <v>0.5</v>
      </c>
      <c r="H3" s="6">
        <v>1.5</v>
      </c>
    </row>
    <row r="4" spans="1:25" ht="15.75" customHeight="1" x14ac:dyDescent="0.25">
      <c r="A4" s="2" t="s">
        <v>6</v>
      </c>
      <c r="B4" s="7">
        <v>3.5</v>
      </c>
      <c r="C4" cm="1">
        <f t="array" ref="C4">_xlfn.IFS(A4&lt;= "F", $F$2, A4 &lt;= "M", $F$3, A4 &lt;= "Z",$F$4)</f>
        <v>2</v>
      </c>
      <c r="D4" s="9" cm="1">
        <f t="array" ref="D4">_xlfn.IFS(C4=$F$2,B4*($H$2/$G$2), C4=$F$3,B4*($H$3/$G$3),C4=$F$4,B4*($H$4/$G$4))</f>
        <v>7</v>
      </c>
      <c r="F4">
        <v>2</v>
      </c>
      <c r="G4" s="4">
        <v>1</v>
      </c>
      <c r="H4" s="6">
        <v>2</v>
      </c>
    </row>
    <row r="5" spans="1:25" ht="15.75" customHeight="1" x14ac:dyDescent="0.25">
      <c r="A5" s="2" t="s">
        <v>7</v>
      </c>
      <c r="B5" s="7">
        <v>4.5</v>
      </c>
      <c r="C5" cm="1">
        <f t="array" ref="C5">_xlfn.IFS(A5&lt;= "F", $F$2, A5 &lt;= "M", $F$3, A5 &lt;= "Z",$F$4)</f>
        <v>2</v>
      </c>
      <c r="D5" s="9" cm="1">
        <f t="array" ref="D5">_xlfn.IFS(C5=$F$2,B5*($H$2/$G$2), C5=$F$3,B5*($H$3/$G$3),C5=$F$4,B5*($H$4/$G$4))</f>
        <v>9</v>
      </c>
    </row>
    <row r="6" spans="1:25" ht="15.75" customHeight="1" x14ac:dyDescent="0.25">
      <c r="A6" s="2" t="s">
        <v>8</v>
      </c>
      <c r="B6" s="7">
        <v>5.5</v>
      </c>
      <c r="C6" cm="1">
        <f t="array" ref="C6">_xlfn.IFS(A6&lt;= "F", $F$2, A6 &lt;= "M", $F$3, A6 &lt;= "Z",$F$4)</f>
        <v>2</v>
      </c>
      <c r="D6" s="9" cm="1">
        <f t="array" ref="D6">_xlfn.IFS(C6=$F$2,B6*($H$2/$G$2), C6=$F$3,B6*($H$3/$G$3),C6=$F$4,B6*($H$4/$G$4))</f>
        <v>11</v>
      </c>
    </row>
    <row r="7" spans="1:25" ht="15.75" customHeight="1" x14ac:dyDescent="0.25">
      <c r="A7" s="2" t="s">
        <v>9</v>
      </c>
      <c r="B7" s="7">
        <v>6.5</v>
      </c>
      <c r="C7" cm="1">
        <f t="array" ref="C7">_xlfn.IFS(A7&lt;= "F", $F$2, A7 &lt;= "M", $F$3, A7 &lt;= "Z",$F$4)</f>
        <v>2</v>
      </c>
      <c r="D7" s="9" cm="1">
        <f t="array" ref="D7">_xlfn.IFS(C7=$F$2,B7*($H$2/$G$2), C7=$F$3,B7*($H$3/$G$3),C7=$F$4,B7*($H$4/$G$4))</f>
        <v>13</v>
      </c>
    </row>
    <row r="8" spans="1:25" ht="15.75" customHeight="1" x14ac:dyDescent="0.25">
      <c r="A8" s="2" t="s">
        <v>10</v>
      </c>
      <c r="B8" s="7">
        <v>7.5</v>
      </c>
      <c r="C8" cm="1">
        <f t="array" ref="C8">_xlfn.IFS(A8&lt;= "F", $F$2, A8 &lt;= "M", $F$3, A8 &lt;= "Z",$F$4)</f>
        <v>0</v>
      </c>
      <c r="D8" s="9" cm="1">
        <f t="array" ref="D8">_xlfn.IFS(C8=$F$2,B8*($H$2/$G$2), C8=$F$3,B8*($H$3/$G$3),C8=$F$4,B8*($H$4/$G$4))</f>
        <v>30</v>
      </c>
    </row>
    <row r="9" spans="1:25" ht="15.75" customHeight="1" x14ac:dyDescent="0.25">
      <c r="A9" s="2" t="s">
        <v>11</v>
      </c>
      <c r="B9" s="7">
        <v>8.5</v>
      </c>
      <c r="C9" cm="1">
        <f t="array" ref="C9">_xlfn.IFS(A9&lt;= "F", $F$2, A9 &lt;= "M", $F$3, A9 &lt;= "Z",$F$4)</f>
        <v>0</v>
      </c>
      <c r="D9" s="9" cm="1">
        <f t="array" ref="D9">_xlfn.IFS(C9=$F$2,B9*($H$2/$G$2), C9=$F$3,B9*($H$3/$G$3),C9=$F$4,B9*($H$4/$G$4))</f>
        <v>34</v>
      </c>
    </row>
    <row r="10" spans="1:25" ht="15.75" customHeight="1" x14ac:dyDescent="0.25">
      <c r="A10" s="2" t="s">
        <v>12</v>
      </c>
      <c r="B10" s="7">
        <v>9.5</v>
      </c>
      <c r="C10" cm="1">
        <f t="array" ref="C10">_xlfn.IFS(A10&lt;= "F", $F$2, A10 &lt;= "M", $F$3, A10 &lt;= "Z",$F$4)</f>
        <v>0</v>
      </c>
      <c r="D10" s="9" cm="1">
        <f t="array" ref="D10">_xlfn.IFS(C10=$F$2,B10*($H$2/$G$2), C10=$F$3,B10*($H$3/$G$3),C10=$F$4,B10*($H$4/$G$4))</f>
        <v>38</v>
      </c>
    </row>
    <row r="11" spans="1:25" ht="15.75" customHeight="1" x14ac:dyDescent="0.25">
      <c r="A11" s="2" t="s">
        <v>13</v>
      </c>
      <c r="B11" s="7">
        <v>10</v>
      </c>
      <c r="C11" cm="1">
        <f t="array" ref="C11">_xlfn.IFS(A11&lt;= "F", $F$2, A11 &lt;= "M", $F$3, A11 &lt;= "Z",$F$4)</f>
        <v>1</v>
      </c>
      <c r="D11" s="9" cm="1">
        <f t="array" ref="D11">_xlfn.IFS(C11=$F$2,B11*($H$2/$G$2), C11=$F$3,B11*($H$3/$G$3),C11=$F$4,B11*($H$4/$G$4))</f>
        <v>30</v>
      </c>
    </row>
    <row r="12" spans="1:25" ht="15.75" customHeight="1" x14ac:dyDescent="0.25">
      <c r="A12" s="2" t="s">
        <v>14</v>
      </c>
      <c r="B12" s="7">
        <v>0.5</v>
      </c>
      <c r="C12" cm="1">
        <f t="array" ref="C12">_xlfn.IFS(A12&lt;= "F", $F$2, A12 &lt;= "M", $F$3, A12 &lt;= "Z",$F$4)</f>
        <v>1</v>
      </c>
      <c r="D12" s="9" cm="1">
        <f t="array" ref="D12">_xlfn.IFS(C12=$F$2,B12*($H$2/$G$2), C12=$F$3,B12*($H$3/$G$3),C12=$F$4,B12*($H$4/$G$4))</f>
        <v>1.5</v>
      </c>
    </row>
    <row r="13" spans="1:25" ht="15.75" customHeight="1" x14ac:dyDescent="0.25">
      <c r="A13" s="2" t="s">
        <v>15</v>
      </c>
      <c r="B13" s="7">
        <v>1</v>
      </c>
      <c r="C13" cm="1">
        <f t="array" ref="C13">_xlfn.IFS(A13&lt;= "F", $F$2, A13 &lt;= "M", $F$3, A13 &lt;= "Z",$F$4)</f>
        <v>1</v>
      </c>
      <c r="D13" s="9" cm="1">
        <f t="array" ref="D13">_xlfn.IFS(C13=$F$2,B13*($H$2/$G$2), C13=$F$3,B13*($H$3/$G$3),C13=$F$4,B13*($H$4/$G$4))</f>
        <v>3</v>
      </c>
    </row>
    <row r="14" spans="1:25" ht="15.75" customHeight="1" x14ac:dyDescent="0.25">
      <c r="A14" s="2" t="s">
        <v>16</v>
      </c>
      <c r="B14" s="7">
        <v>2</v>
      </c>
      <c r="C14" cm="1">
        <f t="array" ref="C14">_xlfn.IFS(A14&lt;= "F", $F$2, A14 &lt;= "M", $F$3, A14 &lt;= "Z",$F$4)</f>
        <v>2</v>
      </c>
      <c r="D14" s="9" cm="1">
        <f t="array" ref="D14">_xlfn.IFS(C14=$F$2,B14*($H$2/$G$2), C14=$F$3,B14*($H$3/$G$3),C14=$F$4,B14*($H$4/$G$4))</f>
        <v>4</v>
      </c>
    </row>
    <row r="15" spans="1:25" ht="15.75" customHeight="1" x14ac:dyDescent="0.25">
      <c r="A15" s="2" t="s">
        <v>17</v>
      </c>
      <c r="B15" s="7">
        <v>3</v>
      </c>
      <c r="C15" cm="1">
        <f t="array" ref="C15">_xlfn.IFS(A15&lt;= "F", $F$2, A15 &lt;= "M", $F$3, A15 &lt;= "Z",$F$4)</f>
        <v>2</v>
      </c>
      <c r="D15" s="9" cm="1">
        <f t="array" ref="D15">_xlfn.IFS(C15=$F$2,B15*($H$2/$G$2), C15=$F$3,B15*($H$3/$G$3),C15=$F$4,B15*($H$4/$G$4))</f>
        <v>6</v>
      </c>
    </row>
    <row r="16" spans="1:25" ht="15.75" customHeight="1" x14ac:dyDescent="0.25">
      <c r="A16" s="2" t="s">
        <v>18</v>
      </c>
      <c r="B16" s="7">
        <v>4</v>
      </c>
      <c r="C16" cm="1">
        <f t="array" ref="C16">_xlfn.IFS(A16&lt;= "F", $F$2, A16 &lt;= "M", $F$3, A16 &lt;= "Z",$F$4)</f>
        <v>2</v>
      </c>
      <c r="D16" s="9" cm="1">
        <f t="array" ref="D16">_xlfn.IFS(C16=$F$2,B16*($H$2/$G$2), C16=$F$3,B16*($H$3/$G$3),C16=$F$4,B16*($H$4/$G$4))</f>
        <v>8</v>
      </c>
    </row>
    <row r="17" spans="1:4" ht="15.75" customHeight="1" x14ac:dyDescent="0.25">
      <c r="A17" s="2" t="s">
        <v>19</v>
      </c>
      <c r="B17" s="7">
        <v>5</v>
      </c>
      <c r="C17" cm="1">
        <f t="array" ref="C17">_xlfn.IFS(A17&lt;= "F", $F$2, A17 &lt;= "M", $F$3, A17 &lt;= "Z",$F$4)</f>
        <v>2</v>
      </c>
      <c r="D17" s="9" cm="1">
        <f t="array" ref="D17">_xlfn.IFS(C17=$F$2,B17*($H$2/$G$2), C17=$F$3,B17*($H$3/$G$3),C17=$F$4,B17*($H$4/$G$4))</f>
        <v>10</v>
      </c>
    </row>
    <row r="18" spans="1:4" ht="15.75" customHeight="1" x14ac:dyDescent="0.25">
      <c r="A18" s="2" t="s">
        <v>20</v>
      </c>
      <c r="B18" s="7">
        <v>6</v>
      </c>
      <c r="C18" cm="1">
        <f t="array" ref="C18">_xlfn.IFS(A18&lt;= "F", $F$2, A18 &lt;= "M", $F$3, A18 &lt;= "Z",$F$4)</f>
        <v>2</v>
      </c>
      <c r="D18" s="9" cm="1">
        <f t="array" ref="D18">_xlfn.IFS(C18=$F$2,B18*($H$2/$G$2), C18=$F$3,B18*($H$3/$G$3),C18=$F$4,B18*($H$4/$G$4))</f>
        <v>12</v>
      </c>
    </row>
    <row r="19" spans="1:4" ht="15.75" customHeight="1" x14ac:dyDescent="0.25">
      <c r="A19" s="2" t="s">
        <v>21</v>
      </c>
      <c r="B19" s="7">
        <v>7</v>
      </c>
      <c r="C19" cm="1">
        <f t="array" ref="C19">_xlfn.IFS(A19&lt;= "F", $F$2, A19 &lt;= "M", $F$3, A19 &lt;= "Z",$F$4)</f>
        <v>2</v>
      </c>
      <c r="D19" s="9" cm="1">
        <f t="array" ref="D19">_xlfn.IFS(C19=$F$2,B19*($H$2/$G$2), C19=$F$3,B19*($H$3/$G$3),C19=$F$4,B19*($H$4/$G$4))</f>
        <v>14</v>
      </c>
    </row>
    <row r="20" spans="1:4" ht="15.75" customHeight="1" x14ac:dyDescent="0.25">
      <c r="A20" s="2" t="s">
        <v>22</v>
      </c>
      <c r="B20" s="7">
        <v>8</v>
      </c>
      <c r="C20" cm="1">
        <f t="array" ref="C20">_xlfn.IFS(A20&lt;= "F", $F$2, A20 &lt;= "M", $F$3, A20 &lt;= "Z",$F$4)</f>
        <v>2</v>
      </c>
      <c r="D20" s="9" cm="1">
        <f t="array" ref="D20">_xlfn.IFS(C20=$F$2,B20*($H$2/$G$2), C20=$F$3,B20*($H$3/$G$3),C20=$F$4,B20*($H$4/$G$4))</f>
        <v>16</v>
      </c>
    </row>
    <row r="21" spans="1:4" ht="15.75" customHeight="1" x14ac:dyDescent="0.25">
      <c r="A21" s="2" t="s">
        <v>23</v>
      </c>
      <c r="B21" s="7">
        <v>9</v>
      </c>
      <c r="C21" cm="1">
        <f t="array" ref="C21">_xlfn.IFS(A21&lt;= "F", $F$2, A21 &lt;= "M", $F$3, A21 &lt;= "Z",$F$4)</f>
        <v>0</v>
      </c>
      <c r="D21" s="9" cm="1">
        <f t="array" ref="D21">_xlfn.IFS(C21=$F$2,B21*($H$2/$G$2), C21=$F$3,B21*($H$3/$G$3),C21=$F$4,B21*($H$4/$G$4))</f>
        <v>36</v>
      </c>
    </row>
    <row r="22" spans="1:4" ht="15.75" customHeight="1" x14ac:dyDescent="0.25">
      <c r="A22" s="2" t="s">
        <v>24</v>
      </c>
      <c r="B22" s="7">
        <v>10</v>
      </c>
      <c r="C22" cm="1">
        <f t="array" ref="C22">_xlfn.IFS(A22&lt;= "F", $F$2, A22 &lt;= "M", $F$3, A22 &lt;= "Z",$F$4)</f>
        <v>0</v>
      </c>
      <c r="D22" s="9" cm="1">
        <f t="array" ref="D22">_xlfn.IFS(C22=$F$2,B22*($H$2/$G$2), C22=$F$3,B22*($H$3/$G$3),C22=$F$4,B22*($H$4/$G$4))</f>
        <v>40</v>
      </c>
    </row>
    <row r="23" spans="1:4" ht="15.75" customHeight="1" x14ac:dyDescent="0.25">
      <c r="A23" s="2" t="s">
        <v>25</v>
      </c>
      <c r="B23" s="7">
        <v>0.5</v>
      </c>
      <c r="C23" cm="1">
        <f t="array" ref="C23">_xlfn.IFS(A23&lt;= "F", $F$2, A23 &lt;= "M", $F$3, A23 &lt;= "Z",$F$4)</f>
        <v>0</v>
      </c>
      <c r="D23" s="9" cm="1">
        <f t="array" ref="D23">_xlfn.IFS(C23=$F$2,B23*($H$2/$G$2), C23=$F$3,B23*($H$3/$G$3),C23=$F$4,B23*($H$4/$G$4))</f>
        <v>2</v>
      </c>
    </row>
    <row r="24" spans="1:4" ht="15.75" customHeight="1" x14ac:dyDescent="0.25">
      <c r="A24" s="2" t="s">
        <v>26</v>
      </c>
      <c r="B24" s="7">
        <v>1</v>
      </c>
      <c r="C24" cm="1">
        <f t="array" ref="C24">_xlfn.IFS(A24&lt;= "F", $F$2, A24 &lt;= "M", $F$3, A24 &lt;= "Z",$F$4)</f>
        <v>1</v>
      </c>
      <c r="D24" s="9" cm="1">
        <f t="array" ref="D24">_xlfn.IFS(C24=$F$2,B24*($H$2/$G$2), C24=$F$3,B24*($H$3/$G$3),C24=$F$4,B24*($H$4/$G$4))</f>
        <v>3</v>
      </c>
    </row>
    <row r="25" spans="1:4" ht="15.75" customHeight="1" x14ac:dyDescent="0.25">
      <c r="A25" s="2" t="s">
        <v>27</v>
      </c>
      <c r="B25" s="7">
        <v>2</v>
      </c>
      <c r="C25" cm="1">
        <f t="array" ref="C25">_xlfn.IFS(A25&lt;= "F", $F$2, A25 &lt;= "M", $F$3, A25 &lt;= "Z",$F$4)</f>
        <v>1</v>
      </c>
      <c r="D25" s="9" cm="1">
        <f t="array" ref="D25">_xlfn.IFS(C25=$F$2,B25*($H$2/$G$2), C25=$F$3,B25*($H$3/$G$3),C25=$F$4,B25*($H$4/$G$4))</f>
        <v>6</v>
      </c>
    </row>
    <row r="26" spans="1:4" ht="15.75" customHeight="1" x14ac:dyDescent="0.25">
      <c r="A26" s="2" t="s">
        <v>28</v>
      </c>
      <c r="B26" s="7">
        <v>3</v>
      </c>
      <c r="C26" cm="1">
        <f t="array" ref="C26">_xlfn.IFS(A26&lt;= "F", $F$2, A26 &lt;= "M", $F$3, A26 &lt;= "Z",$F$4)</f>
        <v>1</v>
      </c>
      <c r="D26" s="9" cm="1">
        <f t="array" ref="D26">_xlfn.IFS(C26=$F$2,B26*($H$2/$G$2), C26=$F$3,B26*($H$3/$G$3),C26=$F$4,B26*($H$4/$G$4))</f>
        <v>9</v>
      </c>
    </row>
    <row r="27" spans="1:4" ht="15.75" customHeight="1" x14ac:dyDescent="0.25">
      <c r="A27" s="2" t="s">
        <v>29</v>
      </c>
      <c r="B27" s="7">
        <v>4</v>
      </c>
      <c r="C27" cm="1">
        <f t="array" ref="C27">_xlfn.IFS(A27&lt;= "F", $F$2, A27 &lt;= "M", $F$3, A27 &lt;= "Z",$F$4)</f>
        <v>2</v>
      </c>
      <c r="D27" s="9" cm="1">
        <f t="array" ref="D27">_xlfn.IFS(C27=$F$2,B27*($H$2/$G$2), C27=$F$3,B27*($H$3/$G$3),C27=$F$4,B27*($H$4/$G$4))</f>
        <v>8</v>
      </c>
    </row>
    <row r="28" spans="1:4" ht="15.75" customHeight="1" x14ac:dyDescent="0.25">
      <c r="A28" s="2" t="s">
        <v>30</v>
      </c>
      <c r="B28" s="7">
        <v>5</v>
      </c>
      <c r="C28" cm="1">
        <f t="array" ref="C28">_xlfn.IFS(A28&lt;= "F", $F$2, A28 &lt;= "M", $F$3, A28 &lt;= "Z",$F$4)</f>
        <v>2</v>
      </c>
      <c r="D28" s="9" cm="1">
        <f t="array" ref="D28">_xlfn.IFS(C28=$F$2,B28*($H$2/$G$2), C28=$F$3,B28*($H$3/$G$3),C28=$F$4,B28*($H$4/$G$4))</f>
        <v>10</v>
      </c>
    </row>
    <row r="29" spans="1:4" ht="15.75" customHeight="1" x14ac:dyDescent="0.25">
      <c r="A29" s="2" t="s">
        <v>31</v>
      </c>
      <c r="B29" s="7">
        <v>6</v>
      </c>
      <c r="C29" cm="1">
        <f t="array" ref="C29">_xlfn.IFS(A29&lt;= "F", $F$2, A29 &lt;= "M", $F$3, A29 &lt;= "Z",$F$4)</f>
        <v>2</v>
      </c>
      <c r="D29" s="9" cm="1">
        <f t="array" ref="D29">_xlfn.IFS(C29=$F$2,B29*($H$2/$G$2), C29=$F$3,B29*($H$3/$G$3),C29=$F$4,B29*($H$4/$G$4))</f>
        <v>12</v>
      </c>
    </row>
    <row r="30" spans="1:4" ht="15.75" customHeight="1" x14ac:dyDescent="0.25">
      <c r="A30" s="2" t="s">
        <v>32</v>
      </c>
      <c r="B30" s="7">
        <v>7</v>
      </c>
      <c r="C30" cm="1">
        <f t="array" ref="C30">_xlfn.IFS(A30&lt;= "F", $F$2, A30 &lt;= "M", $F$3, A30 &lt;= "Z",$F$4)</f>
        <v>2</v>
      </c>
      <c r="D30" s="9" cm="1">
        <f t="array" ref="D30">_xlfn.IFS(C30=$F$2,B30*($H$2/$G$2), C30=$F$3,B30*($H$3/$G$3),C30=$F$4,B30*($H$4/$G$4))</f>
        <v>14</v>
      </c>
    </row>
    <row r="31" spans="1:4" ht="15.75" customHeight="1" x14ac:dyDescent="0.25">
      <c r="A31" s="2" t="s">
        <v>33</v>
      </c>
      <c r="B31" s="7">
        <v>8</v>
      </c>
      <c r="C31" cm="1">
        <f t="array" ref="C31">_xlfn.IFS(A31&lt;= "F", $F$2, A31 &lt;= "M", $F$3, A31 &lt;= "Z",$F$4)</f>
        <v>2</v>
      </c>
      <c r="D31" s="9" cm="1">
        <f t="array" ref="D31">_xlfn.IFS(C31=$F$2,B31*($H$2/$G$2), C31=$F$3,B31*($H$3/$G$3),C31=$F$4,B31*($H$4/$G$4))</f>
        <v>16</v>
      </c>
    </row>
    <row r="32" spans="1:4" ht="15.75" customHeight="1" x14ac:dyDescent="0.25">
      <c r="A32" s="2" t="s">
        <v>34</v>
      </c>
      <c r="B32" s="7">
        <v>9</v>
      </c>
      <c r="C32" cm="1">
        <f t="array" ref="C32">_xlfn.IFS(A32&lt;= "F", $F$2, A32 &lt;= "M", $F$3, A32 &lt;= "Z",$F$4)</f>
        <v>2</v>
      </c>
      <c r="D32" s="9" cm="1">
        <f t="array" ref="D32">_xlfn.IFS(C32=$F$2,B32*($H$2/$G$2), C32=$F$3,B32*($H$3/$G$3),C32=$F$4,B32*($H$4/$G$4))</f>
        <v>18</v>
      </c>
    </row>
    <row r="33" spans="1:4" ht="15.75" customHeight="1" x14ac:dyDescent="0.25">
      <c r="A33" s="2" t="s">
        <v>35</v>
      </c>
      <c r="B33" s="7">
        <v>10</v>
      </c>
      <c r="C33" cm="1">
        <f t="array" ref="C33">_xlfn.IFS(A33&lt;= "F", $F$2, A33 &lt;= "M", $F$3, A33 &lt;= "Z",$F$4)</f>
        <v>2</v>
      </c>
      <c r="D33" s="9" cm="1">
        <f t="array" ref="D33">_xlfn.IFS(C33=$F$2,B33*($H$2/$G$2), C33=$F$3,B33*($H$3/$G$3),C33=$F$4,B33*($H$4/$G$4))</f>
        <v>20</v>
      </c>
    </row>
    <row r="34" spans="1:4" ht="15.75" customHeight="1" x14ac:dyDescent="0.25">
      <c r="A34" s="2" t="s">
        <v>36</v>
      </c>
      <c r="B34" s="7">
        <v>0.5</v>
      </c>
      <c r="C34" cm="1">
        <f t="array" ref="C34">_xlfn.IFS(A34&lt;= "F", $F$2, A34 &lt;= "M", $F$3, A34 &lt;= "Z",$F$4)</f>
        <v>0</v>
      </c>
      <c r="D34" s="9" cm="1">
        <f t="array" ref="D34">_xlfn.IFS(C34=$F$2,B34*($H$2/$G$2), C34=$F$3,B34*($H$3/$G$3),C34=$F$4,B34*($H$4/$G$4))</f>
        <v>2</v>
      </c>
    </row>
    <row r="35" spans="1:4" ht="12.5" x14ac:dyDescent="0.25">
      <c r="A35" s="2" t="s">
        <v>37</v>
      </c>
      <c r="B35" s="7">
        <v>1</v>
      </c>
      <c r="C35" cm="1">
        <f t="array" ref="C35">_xlfn.IFS(A35&lt;= "F", $F$2, A35 &lt;= "M", $F$3, A35 &lt;= "Z",$F$4)</f>
        <v>0</v>
      </c>
      <c r="D35" s="9" cm="1">
        <f t="array" ref="D35">_xlfn.IFS(C35=$F$2,B35*($H$2/$G$2), C35=$F$3,B35*($H$3/$G$3),C35=$F$4,B35*($H$4/$G$4))</f>
        <v>4</v>
      </c>
    </row>
    <row r="36" spans="1:4" ht="12.5" x14ac:dyDescent="0.25">
      <c r="A36" s="2" t="s">
        <v>38</v>
      </c>
      <c r="B36" s="7">
        <v>2</v>
      </c>
      <c r="C36" cm="1">
        <f t="array" ref="C36">_xlfn.IFS(A36&lt;= "F", $F$2, A36 &lt;= "M", $F$3, A36 &lt;= "Z",$F$4)</f>
        <v>0</v>
      </c>
      <c r="D36" s="9" cm="1">
        <f t="array" ref="D36">_xlfn.IFS(C36=$F$2,B36*($H$2/$G$2), C36=$F$3,B36*($H$3/$G$3),C36=$F$4,B36*($H$4/$G$4))</f>
        <v>8</v>
      </c>
    </row>
    <row r="37" spans="1:4" ht="12.5" x14ac:dyDescent="0.25">
      <c r="A37" s="2" t="s">
        <v>39</v>
      </c>
      <c r="B37" s="7">
        <v>3</v>
      </c>
      <c r="C37" cm="1">
        <f t="array" ref="C37">_xlfn.IFS(A37&lt;= "F", $F$2, A37 &lt;= "M", $F$3, A37 &lt;= "Z",$F$4)</f>
        <v>1</v>
      </c>
      <c r="D37" s="9" cm="1">
        <f t="array" ref="D37">_xlfn.IFS(C37=$F$2,B37*($H$2/$G$2), C37=$F$3,B37*($H$3/$G$3),C37=$F$4,B37*($H$4/$G$4))</f>
        <v>9</v>
      </c>
    </row>
    <row r="38" spans="1:4" ht="12.5" x14ac:dyDescent="0.25">
      <c r="A38" s="2" t="s">
        <v>40</v>
      </c>
      <c r="B38" s="7">
        <v>4</v>
      </c>
      <c r="C38" cm="1">
        <f t="array" ref="C38">_xlfn.IFS(A38&lt;= "F", $F$2, A38 &lt;= "M", $F$3, A38 &lt;= "Z",$F$4)</f>
        <v>1</v>
      </c>
      <c r="D38" s="9" cm="1">
        <f t="array" ref="D38">_xlfn.IFS(C38=$F$2,B38*($H$2/$G$2), C38=$F$3,B38*($H$3/$G$3),C38=$F$4,B38*($H$4/$G$4))</f>
        <v>12</v>
      </c>
    </row>
    <row r="39" spans="1:4" ht="12.5" x14ac:dyDescent="0.25">
      <c r="A39" s="2" t="s">
        <v>41</v>
      </c>
      <c r="B39" s="7">
        <v>5</v>
      </c>
      <c r="C39" cm="1">
        <f t="array" ref="C39">_xlfn.IFS(A39&lt;= "F", $F$2, A39 &lt;= "M", $F$3, A39 &lt;= "Z",$F$4)</f>
        <v>1</v>
      </c>
      <c r="D39" s="9" cm="1">
        <f t="array" ref="D39">_xlfn.IFS(C39=$F$2,B39*($H$2/$G$2), C39=$F$3,B39*($H$3/$G$3),C39=$F$4,B39*($H$4/$G$4))</f>
        <v>15</v>
      </c>
    </row>
    <row r="40" spans="1:4" ht="12.5" x14ac:dyDescent="0.25">
      <c r="A40" s="2" t="s">
        <v>42</v>
      </c>
      <c r="B40" s="7">
        <v>6</v>
      </c>
      <c r="C40" cm="1">
        <f t="array" ref="C40">_xlfn.IFS(A40&lt;= "F", $F$2, A40 &lt;= "M", $F$3, A40 &lt;= "Z",$F$4)</f>
        <v>2</v>
      </c>
      <c r="D40" s="9" cm="1">
        <f t="array" ref="D40">_xlfn.IFS(C40=$F$2,B40*($H$2/$G$2), C40=$F$3,B40*($H$3/$G$3),C40=$F$4,B40*($H$4/$G$4))</f>
        <v>12</v>
      </c>
    </row>
    <row r="41" spans="1:4" ht="12.5" x14ac:dyDescent="0.25">
      <c r="A41" s="2" t="s">
        <v>43</v>
      </c>
      <c r="B41" s="7">
        <v>7</v>
      </c>
      <c r="C41" cm="1">
        <f t="array" ref="C41">_xlfn.IFS(A41&lt;= "F", $F$2, A41 &lt;= "M", $F$3, A41 &lt;= "Z",$F$4)</f>
        <v>2</v>
      </c>
      <c r="D41" s="9" cm="1">
        <f t="array" ref="D41">_xlfn.IFS(C41=$F$2,B41*($H$2/$G$2), C41=$F$3,B41*($H$3/$G$3),C41=$F$4,B41*($H$4/$G$4))</f>
        <v>14</v>
      </c>
    </row>
    <row r="42" spans="1:4" ht="12.5" x14ac:dyDescent="0.25">
      <c r="A42" s="2" t="s">
        <v>44</v>
      </c>
      <c r="B42" s="7">
        <v>8</v>
      </c>
      <c r="C42" cm="1">
        <f t="array" ref="C42">_xlfn.IFS(A42&lt;= "F", $F$2, A42 &lt;= "M", $F$3, A42 &lt;= "Z",$F$4)</f>
        <v>2</v>
      </c>
      <c r="D42" s="9" cm="1">
        <f t="array" ref="D42">_xlfn.IFS(C42=$F$2,B42*($H$2/$G$2), C42=$F$3,B42*($H$3/$G$3),C42=$F$4,B42*($H$4/$G$4))</f>
        <v>16</v>
      </c>
    </row>
    <row r="43" spans="1:4" ht="12.5" x14ac:dyDescent="0.25">
      <c r="A43" s="2" t="s">
        <v>45</v>
      </c>
      <c r="B43" s="7">
        <v>9</v>
      </c>
      <c r="C43" cm="1">
        <f t="array" ref="C43">_xlfn.IFS(A43&lt;= "F", $F$2, A43 &lt;= "M", $F$3, A43 &lt;= "Z",$F$4)</f>
        <v>2</v>
      </c>
      <c r="D43" s="9" cm="1">
        <f t="array" ref="D43">_xlfn.IFS(C43=$F$2,B43*($H$2/$G$2), C43=$F$3,B43*($H$3/$G$3),C43=$F$4,B43*($H$4/$G$4))</f>
        <v>18</v>
      </c>
    </row>
    <row r="44" spans="1:4" ht="12.5" x14ac:dyDescent="0.25">
      <c r="A44" s="2" t="s">
        <v>7</v>
      </c>
      <c r="B44" s="7">
        <v>10</v>
      </c>
      <c r="C44" cm="1">
        <f t="array" ref="C44">_xlfn.IFS(A44&lt;= "F", $F$2, A44 &lt;= "M", $F$3, A44 &lt;= "Z",$F$4)</f>
        <v>2</v>
      </c>
      <c r="D44" s="9" cm="1">
        <f t="array" ref="D44">_xlfn.IFS(C44=$F$2,B44*($H$2/$G$2), C44=$F$3,B44*($H$3/$G$3),C44=$F$4,B44*($H$4/$G$4))</f>
        <v>20</v>
      </c>
    </row>
    <row r="45" spans="1:4" ht="12.5" x14ac:dyDescent="0.25">
      <c r="A45" s="2" t="s">
        <v>46</v>
      </c>
      <c r="B45" s="7">
        <v>0.5</v>
      </c>
      <c r="C45" cm="1">
        <f t="array" ref="C45">_xlfn.IFS(A45&lt;= "F", $F$2, A45 &lt;= "M", $F$3, A45 &lt;= "Z",$F$4)</f>
        <v>2</v>
      </c>
      <c r="D45" s="9" cm="1">
        <f t="array" ref="D45">_xlfn.IFS(C45=$F$2,B45*($H$2/$G$2), C45=$F$3,B45*($H$3/$G$3),C45=$F$4,B45*($H$4/$G$4))</f>
        <v>1</v>
      </c>
    </row>
    <row r="46" spans="1:4" ht="12.5" x14ac:dyDescent="0.25">
      <c r="A46" s="2" t="s">
        <v>47</v>
      </c>
      <c r="B46" s="7">
        <v>1</v>
      </c>
      <c r="C46" cm="1">
        <f t="array" ref="C46">_xlfn.IFS(A46&lt;= "F", $F$2, A46 &lt;= "M", $F$3, A46 &lt;= "Z",$F$4)</f>
        <v>2</v>
      </c>
      <c r="D46" s="9" cm="1">
        <f t="array" ref="D46">_xlfn.IFS(C46=$F$2,B46*($H$2/$G$2), C46=$F$3,B46*($H$3/$G$3),C46=$F$4,B46*($H$4/$G$4))</f>
        <v>2</v>
      </c>
    </row>
    <row r="47" spans="1:4" ht="12.5" x14ac:dyDescent="0.25">
      <c r="A47" s="2" t="s">
        <v>48</v>
      </c>
      <c r="B47" s="7">
        <v>2</v>
      </c>
      <c r="C47" cm="1">
        <f t="array" ref="C47">_xlfn.IFS(A47&lt;= "F", $F$2, A47 &lt;= "M", $F$3, A47 &lt;= "Z",$F$4)</f>
        <v>0</v>
      </c>
      <c r="D47" s="9" cm="1">
        <f t="array" ref="D47">_xlfn.IFS(C47=$F$2,B47*($H$2/$G$2), C47=$F$3,B47*($H$3/$G$3),C47=$F$4,B47*($H$4/$G$4))</f>
        <v>8</v>
      </c>
    </row>
    <row r="48" spans="1:4" ht="12.5" x14ac:dyDescent="0.25">
      <c r="A48" s="2" t="s">
        <v>49</v>
      </c>
      <c r="B48" s="7">
        <v>3</v>
      </c>
      <c r="C48" cm="1">
        <f t="array" ref="C48">_xlfn.IFS(A48&lt;= "F", $F$2, A48 &lt;= "M", $F$3, A48 &lt;= "Z",$F$4)</f>
        <v>0</v>
      </c>
      <c r="D48" s="9" cm="1">
        <f t="array" ref="D48">_xlfn.IFS(C48=$F$2,B48*($H$2/$G$2), C48=$F$3,B48*($H$3/$G$3),C48=$F$4,B48*($H$4/$G$4))</f>
        <v>12</v>
      </c>
    </row>
    <row r="49" spans="1:4" ht="12.5" x14ac:dyDescent="0.25">
      <c r="A49" s="2" t="s">
        <v>50</v>
      </c>
      <c r="B49" s="7">
        <v>4</v>
      </c>
      <c r="C49" cm="1">
        <f t="array" ref="C49">_xlfn.IFS(A49&lt;= "F", $F$2, A49 &lt;= "M", $F$3, A49 &lt;= "Z",$F$4)</f>
        <v>0</v>
      </c>
      <c r="D49" s="9" cm="1">
        <f t="array" ref="D49">_xlfn.IFS(C49=$F$2,B49*($H$2/$G$2), C49=$F$3,B49*($H$3/$G$3),C49=$F$4,B49*($H$4/$G$4))</f>
        <v>16</v>
      </c>
    </row>
    <row r="50" spans="1:4" ht="12.5" x14ac:dyDescent="0.25">
      <c r="A50" s="2" t="s">
        <v>51</v>
      </c>
      <c r="B50" s="7">
        <v>5</v>
      </c>
      <c r="C50" cm="1">
        <f t="array" ref="C50">_xlfn.IFS(A50&lt;= "F", $F$2, A50 &lt;= "M", $F$3, A50 &lt;= "Z",$F$4)</f>
        <v>1</v>
      </c>
      <c r="D50" s="9" cm="1">
        <f t="array" ref="D50">_xlfn.IFS(C50=$F$2,B50*($H$2/$G$2), C50=$F$3,B50*($H$3/$G$3),C50=$F$4,B50*($H$4/$G$4))</f>
        <v>15</v>
      </c>
    </row>
    <row r="51" spans="1:4" ht="12.5" x14ac:dyDescent="0.25">
      <c r="A51" s="2" t="s">
        <v>52</v>
      </c>
      <c r="B51" s="7">
        <v>6</v>
      </c>
      <c r="C51" cm="1">
        <f t="array" ref="C51">_xlfn.IFS(A51&lt;= "F", $F$2, A51 &lt;= "M", $F$3, A51 &lt;= "Z",$F$4)</f>
        <v>1</v>
      </c>
      <c r="D51" s="9" cm="1">
        <f t="array" ref="D51">_xlfn.IFS(C51=$F$2,B51*($H$2/$G$2), C51=$F$3,B51*($H$3/$G$3),C51=$F$4,B51*($H$4/$G$4))</f>
        <v>18</v>
      </c>
    </row>
    <row r="52" spans="1:4" ht="12.5" x14ac:dyDescent="0.25">
      <c r="A52" s="2" t="s">
        <v>53</v>
      </c>
      <c r="B52" s="7">
        <v>7</v>
      </c>
      <c r="C52" cm="1">
        <f t="array" ref="C52">_xlfn.IFS(A52&lt;= "F", $F$2, A52 &lt;= "M", $F$3, A52 &lt;= "Z",$F$4)</f>
        <v>1</v>
      </c>
      <c r="D52" s="9" cm="1">
        <f t="array" ref="D52">_xlfn.IFS(C52=$F$2,B52*($H$2/$G$2), C52=$F$3,B52*($H$3/$G$3),C52=$F$4,B52*($H$4/$G$4))</f>
        <v>21</v>
      </c>
    </row>
    <row r="53" spans="1:4" ht="12.5" x14ac:dyDescent="0.25">
      <c r="A53" s="2" t="s">
        <v>54</v>
      </c>
      <c r="B53" s="7">
        <v>8</v>
      </c>
      <c r="C53" cm="1">
        <f t="array" ref="C53">_xlfn.IFS(A53&lt;= "F", $F$2, A53 &lt;= "M", $F$3, A53 &lt;= "Z",$F$4)</f>
        <v>2</v>
      </c>
      <c r="D53" s="9" cm="1">
        <f t="array" ref="D53">_xlfn.IFS(C53=$F$2,B53*($H$2/$G$2), C53=$F$3,B53*($H$3/$G$3),C53=$F$4,B53*($H$4/$G$4))</f>
        <v>16</v>
      </c>
    </row>
    <row r="54" spans="1:4" ht="12.5" x14ac:dyDescent="0.25">
      <c r="A54" s="2" t="s">
        <v>55</v>
      </c>
      <c r="B54" s="7">
        <v>9</v>
      </c>
      <c r="C54" cm="1">
        <f t="array" ref="C54">_xlfn.IFS(A54&lt;= "F", $F$2, A54 &lt;= "M", $F$3, A54 &lt;= "Z",$F$4)</f>
        <v>2</v>
      </c>
      <c r="D54" s="9" cm="1">
        <f t="array" ref="D54">_xlfn.IFS(C54=$F$2,B54*($H$2/$G$2), C54=$F$3,B54*($H$3/$G$3),C54=$F$4,B54*($H$4/$G$4))</f>
        <v>18</v>
      </c>
    </row>
    <row r="55" spans="1:4" ht="12.5" x14ac:dyDescent="0.25">
      <c r="A55" s="2" t="s">
        <v>56</v>
      </c>
      <c r="B55" s="7">
        <v>10</v>
      </c>
      <c r="C55" cm="1">
        <f t="array" ref="C55">_xlfn.IFS(A55&lt;= "F", $F$2, A55 &lt;= "M", $F$3, A55 &lt;= "Z",$F$4)</f>
        <v>2</v>
      </c>
      <c r="D55" s="9" cm="1">
        <f t="array" ref="D55">_xlfn.IFS(C55=$F$2,B55*($H$2/$G$2), C55=$F$3,B55*($H$3/$G$3),C55=$F$4,B55*($H$4/$G$4))</f>
        <v>20</v>
      </c>
    </row>
    <row r="56" spans="1:4" ht="12.5" x14ac:dyDescent="0.25">
      <c r="A56" s="2" t="s">
        <v>57</v>
      </c>
      <c r="B56" s="7">
        <v>0.5</v>
      </c>
      <c r="C56" cm="1">
        <f t="array" ref="C56">_xlfn.IFS(A56&lt;= "F", $F$2, A56 &lt;= "M", $F$3, A56 &lt;= "Z",$F$4)</f>
        <v>2</v>
      </c>
      <c r="D56" s="9" cm="1">
        <f t="array" ref="D56">_xlfn.IFS(C56=$F$2,B56*($H$2/$G$2), C56=$F$3,B56*($H$3/$G$3),C56=$F$4,B56*($H$4/$G$4))</f>
        <v>1</v>
      </c>
    </row>
    <row r="57" spans="1:4" ht="12.5" x14ac:dyDescent="0.25">
      <c r="A57" s="2" t="s">
        <v>58</v>
      </c>
      <c r="B57" s="7">
        <v>1</v>
      </c>
      <c r="C57" cm="1">
        <f t="array" ref="C57">_xlfn.IFS(A57&lt;= "F", $F$2, A57 &lt;= "M", $F$3, A57 &lt;= "Z",$F$4)</f>
        <v>2</v>
      </c>
      <c r="D57" s="9" cm="1">
        <f t="array" ref="D57">_xlfn.IFS(C57=$F$2,B57*($H$2/$G$2), C57=$F$3,B57*($H$3/$G$3),C57=$F$4,B57*($H$4/$G$4))</f>
        <v>2</v>
      </c>
    </row>
    <row r="58" spans="1:4" ht="12.5" x14ac:dyDescent="0.25">
      <c r="A58" s="2" t="s">
        <v>59</v>
      </c>
      <c r="B58" s="7">
        <v>2</v>
      </c>
      <c r="C58" cm="1">
        <f t="array" ref="C58">_xlfn.IFS(A58&lt;= "F", $F$2, A58 &lt;= "M", $F$3, A58 &lt;= "Z",$F$4)</f>
        <v>2</v>
      </c>
      <c r="D58" s="9" cm="1">
        <f t="array" ref="D58">_xlfn.IFS(C58=$F$2,B58*($H$2/$G$2), C58=$F$3,B58*($H$3/$G$3),C58=$F$4,B58*($H$4/$G$4))</f>
        <v>4</v>
      </c>
    </row>
    <row r="59" spans="1:4" ht="12.5" x14ac:dyDescent="0.25">
      <c r="A59" s="2" t="s">
        <v>60</v>
      </c>
      <c r="B59" s="7">
        <v>3</v>
      </c>
      <c r="C59" cm="1">
        <f t="array" ref="C59">_xlfn.IFS(A59&lt;= "F", $F$2, A59 &lt;= "M", $F$3, A59 &lt;= "Z",$F$4)</f>
        <v>2</v>
      </c>
      <c r="D59" s="9" cm="1">
        <f t="array" ref="D59">_xlfn.IFS(C59=$F$2,B59*($H$2/$G$2), C59=$F$3,B59*($H$3/$G$3),C59=$F$4,B59*($H$4/$G$4))</f>
        <v>6</v>
      </c>
    </row>
    <row r="60" spans="1:4" ht="12.5" x14ac:dyDescent="0.25">
      <c r="A60" s="2" t="s">
        <v>61</v>
      </c>
      <c r="B60" s="7">
        <v>4</v>
      </c>
      <c r="C60" cm="1">
        <f t="array" ref="C60">_xlfn.IFS(A60&lt;= "F", $F$2, A60 &lt;= "M", $F$3, A60 &lt;= "Z",$F$4)</f>
        <v>0</v>
      </c>
      <c r="D60" s="9" cm="1">
        <f t="array" ref="D60">_xlfn.IFS(C60=$F$2,B60*($H$2/$G$2), C60=$F$3,B60*($H$3/$G$3),C60=$F$4,B60*($H$4/$G$4))</f>
        <v>16</v>
      </c>
    </row>
    <row r="61" spans="1:4" ht="12.5" x14ac:dyDescent="0.25">
      <c r="A61" s="2" t="s">
        <v>62</v>
      </c>
      <c r="B61" s="7">
        <v>5</v>
      </c>
      <c r="C61" cm="1">
        <f t="array" ref="C61">_xlfn.IFS(A61&lt;= "F", $F$2, A61 &lt;= "M", $F$3, A61 &lt;= "Z",$F$4)</f>
        <v>0</v>
      </c>
      <c r="D61" s="9" cm="1">
        <f t="array" ref="D61">_xlfn.IFS(C61=$F$2,B61*($H$2/$G$2), C61=$F$3,B61*($H$3/$G$3),C61=$F$4,B61*($H$4/$G$4))</f>
        <v>20</v>
      </c>
    </row>
    <row r="62" spans="1:4" ht="12.5" x14ac:dyDescent="0.25">
      <c r="A62" s="2" t="s">
        <v>63</v>
      </c>
      <c r="B62" s="7">
        <v>6</v>
      </c>
      <c r="C62" cm="1">
        <f t="array" ref="C62">_xlfn.IFS(A62&lt;= "F", $F$2, A62 &lt;= "M", $F$3, A62 &lt;= "Z",$F$4)</f>
        <v>0</v>
      </c>
      <c r="D62" s="9" cm="1">
        <f t="array" ref="D62">_xlfn.IFS(C62=$F$2,B62*($H$2/$G$2), C62=$F$3,B62*($H$3/$G$3),C62=$F$4,B62*($H$4/$G$4))</f>
        <v>24</v>
      </c>
    </row>
    <row r="63" spans="1:4" ht="12.5" x14ac:dyDescent="0.25">
      <c r="A63" s="2" t="s">
        <v>64</v>
      </c>
      <c r="B63" s="7">
        <v>7</v>
      </c>
      <c r="C63" cm="1">
        <f t="array" ref="C63">_xlfn.IFS(A63&lt;= "F", $F$2, A63 &lt;= "M", $F$3, A63 &lt;= "Z",$F$4)</f>
        <v>1</v>
      </c>
      <c r="D63" s="9" cm="1">
        <f t="array" ref="D63">_xlfn.IFS(C63=$F$2,B63*($H$2/$G$2), C63=$F$3,B63*($H$3/$G$3),C63=$F$4,B63*($H$4/$G$4))</f>
        <v>21</v>
      </c>
    </row>
    <row r="64" spans="1:4" ht="12.5" x14ac:dyDescent="0.25">
      <c r="A64" s="2" t="s">
        <v>65</v>
      </c>
      <c r="B64" s="7">
        <v>8</v>
      </c>
      <c r="C64" cm="1">
        <f t="array" ref="C64">_xlfn.IFS(A64&lt;= "F", $F$2, A64 &lt;= "M", $F$3, A64 &lt;= "Z",$F$4)</f>
        <v>1</v>
      </c>
      <c r="D64" s="9" cm="1">
        <f t="array" ref="D64">_xlfn.IFS(C64=$F$2,B64*($H$2/$G$2), C64=$F$3,B64*($H$3/$G$3),C64=$F$4,B64*($H$4/$G$4))</f>
        <v>24</v>
      </c>
    </row>
    <row r="65" spans="1:4" ht="12.5" x14ac:dyDescent="0.25">
      <c r="A65" s="2" t="s">
        <v>66</v>
      </c>
      <c r="B65" s="7">
        <v>9</v>
      </c>
      <c r="C65" cm="1">
        <f t="array" ref="C65">_xlfn.IFS(A65&lt;= "F", $F$2, A65 &lt;= "M", $F$3, A65 &lt;= "Z",$F$4)</f>
        <v>1</v>
      </c>
      <c r="D65" s="9" cm="1">
        <f t="array" ref="D65">_xlfn.IFS(C65=$F$2,B65*($H$2/$G$2), C65=$F$3,B65*($H$3/$G$3),C65=$F$4,B65*($H$4/$G$4))</f>
        <v>27</v>
      </c>
    </row>
    <row r="66" spans="1:4" ht="12.5" x14ac:dyDescent="0.25">
      <c r="A66" s="2" t="s">
        <v>67</v>
      </c>
      <c r="B66" s="7">
        <v>10</v>
      </c>
      <c r="C66" cm="1">
        <f t="array" ref="C66">_xlfn.IFS(A66&lt;= "F", $F$2, A66 &lt;= "M", $F$3, A66 &lt;= "Z",$F$4)</f>
        <v>2</v>
      </c>
      <c r="D66" s="9" cm="1">
        <f t="array" ref="D66">_xlfn.IFS(C66=$F$2,B66*($H$2/$G$2), C66=$F$3,B66*($H$3/$G$3),C66=$F$4,B66*($H$4/$G$4))</f>
        <v>20</v>
      </c>
    </row>
    <row r="67" spans="1:4" ht="12.5" x14ac:dyDescent="0.25">
      <c r="A67" s="2" t="s">
        <v>68</v>
      </c>
      <c r="B67" s="7">
        <v>0.5</v>
      </c>
      <c r="C67" cm="1">
        <f t="array" ref="C67">_xlfn.IFS(A67&lt;= "F", $F$2, A67 &lt;= "M", $F$3, A67 &lt;= "Z",$F$4)</f>
        <v>2</v>
      </c>
      <c r="D67" s="9" cm="1">
        <f t="array" ref="D67">_xlfn.IFS(C67=$F$2,B67*($H$2/$G$2), C67=$F$3,B67*($H$3/$G$3),C67=$F$4,B67*($H$4/$G$4))</f>
        <v>1</v>
      </c>
    </row>
    <row r="68" spans="1:4" ht="12.5" x14ac:dyDescent="0.25">
      <c r="A68" s="2" t="s">
        <v>69</v>
      </c>
      <c r="B68" s="7">
        <v>1</v>
      </c>
      <c r="C68" cm="1">
        <f t="array" ref="C68">_xlfn.IFS(A68&lt;= "F", $F$2, A68 &lt;= "M", $F$3, A68 &lt;= "Z",$F$4)</f>
        <v>2</v>
      </c>
      <c r="D68" s="9" cm="1">
        <f t="array" ref="D68">_xlfn.IFS(C68=$F$2,B68*($H$2/$G$2), C68=$F$3,B68*($H$3/$G$3),C68=$F$4,B68*($H$4/$G$4))</f>
        <v>2</v>
      </c>
    </row>
    <row r="69" spans="1:4" ht="12.5" x14ac:dyDescent="0.25">
      <c r="A69" s="2" t="s">
        <v>70</v>
      </c>
      <c r="B69" s="7">
        <v>2</v>
      </c>
      <c r="C69" cm="1">
        <f t="array" ref="C69">_xlfn.IFS(A69&lt;= "F", $F$2, A69 &lt;= "M", $F$3, A69 &lt;= "Z",$F$4)</f>
        <v>2</v>
      </c>
      <c r="D69" s="9" cm="1">
        <f t="array" ref="D69">_xlfn.IFS(C69=$F$2,B69*($H$2/$G$2), C69=$F$3,B69*($H$3/$G$3),C69=$F$4,B69*($H$4/$G$4))</f>
        <v>4</v>
      </c>
    </row>
    <row r="70" spans="1:4" ht="12.5" x14ac:dyDescent="0.25">
      <c r="A70" s="2" t="s">
        <v>71</v>
      </c>
      <c r="B70" s="7">
        <v>3</v>
      </c>
      <c r="C70" cm="1">
        <f t="array" ref="C70">_xlfn.IFS(A70&lt;= "F", $F$2, A70 &lt;= "M", $F$3, A70 &lt;= "Z",$F$4)</f>
        <v>2</v>
      </c>
      <c r="D70" s="9" cm="1">
        <f t="array" ref="D70">_xlfn.IFS(C70=$F$2,B70*($H$2/$G$2), C70=$F$3,B70*($H$3/$G$3),C70=$F$4,B70*($H$4/$G$4))</f>
        <v>6</v>
      </c>
    </row>
    <row r="71" spans="1:4" ht="12.5" x14ac:dyDescent="0.25">
      <c r="A71" s="2" t="s">
        <v>72</v>
      </c>
      <c r="B71" s="7">
        <v>4</v>
      </c>
      <c r="C71" cm="1">
        <f t="array" ref="C71">_xlfn.IFS(A71&lt;= "F", $F$2, A71 &lt;= "M", $F$3, A71 &lt;= "Z",$F$4)</f>
        <v>2</v>
      </c>
      <c r="D71" s="9" cm="1">
        <f t="array" ref="D71">_xlfn.IFS(C71=$F$2,B71*($H$2/$G$2), C71=$F$3,B71*($H$3/$G$3),C71=$F$4,B71*($H$4/$G$4))</f>
        <v>8</v>
      </c>
    </row>
    <row r="72" spans="1:4" ht="12.5" x14ac:dyDescent="0.25">
      <c r="A72" s="2" t="s">
        <v>73</v>
      </c>
      <c r="B72" s="7">
        <v>5</v>
      </c>
      <c r="C72" cm="1">
        <f t="array" ref="C72">_xlfn.IFS(A72&lt;= "F", $F$2, A72 &lt;= "M", $F$3, A72 &lt;= "Z",$F$4)</f>
        <v>2</v>
      </c>
      <c r="D72" s="9" cm="1">
        <f t="array" ref="D72">_xlfn.IFS(C72=$F$2,B72*($H$2/$G$2), C72=$F$3,B72*($H$3/$G$3),C72=$F$4,B72*($H$4/$G$4))</f>
        <v>10</v>
      </c>
    </row>
    <row r="73" spans="1:4" ht="12.5" x14ac:dyDescent="0.25">
      <c r="A73" s="2" t="s">
        <v>74</v>
      </c>
      <c r="B73" s="7">
        <v>6</v>
      </c>
      <c r="C73" cm="1">
        <f t="array" ref="C73">_xlfn.IFS(A73&lt;= "F", $F$2, A73 &lt;= "M", $F$3, A73 &lt;= "Z",$F$4)</f>
        <v>0</v>
      </c>
      <c r="D73" s="9" cm="1">
        <f t="array" ref="D73">_xlfn.IFS(C73=$F$2,B73*($H$2/$G$2), C73=$F$3,B73*($H$3/$G$3),C73=$F$4,B73*($H$4/$G$4))</f>
        <v>24</v>
      </c>
    </row>
    <row r="74" spans="1:4" ht="12.5" x14ac:dyDescent="0.25">
      <c r="A74" s="2" t="s">
        <v>75</v>
      </c>
      <c r="B74" s="7">
        <v>7</v>
      </c>
      <c r="C74" cm="1">
        <f t="array" ref="C74">_xlfn.IFS(A74&lt;= "F", $F$2, A74 &lt;= "M", $F$3, A74 &lt;= "Z",$F$4)</f>
        <v>0</v>
      </c>
      <c r="D74" s="9" cm="1">
        <f t="array" ref="D74">_xlfn.IFS(C74=$F$2,B74*($H$2/$G$2), C74=$F$3,B74*($H$3/$G$3),C74=$F$4,B74*($H$4/$G$4))</f>
        <v>28</v>
      </c>
    </row>
    <row r="75" spans="1:4" ht="12.5" x14ac:dyDescent="0.25">
      <c r="A75" s="2" t="s">
        <v>76</v>
      </c>
      <c r="B75" s="7">
        <v>8</v>
      </c>
      <c r="C75" cm="1">
        <f t="array" ref="C75">_xlfn.IFS(A75&lt;= "F", $F$2, A75 &lt;= "M", $F$3, A75 &lt;= "Z",$F$4)</f>
        <v>0</v>
      </c>
      <c r="D75" s="9" cm="1">
        <f t="array" ref="D75">_xlfn.IFS(C75=$F$2,B75*($H$2/$G$2), C75=$F$3,B75*($H$3/$G$3),C75=$F$4,B75*($H$4/$G$4))</f>
        <v>32</v>
      </c>
    </row>
    <row r="76" spans="1:4" ht="12.5" x14ac:dyDescent="0.25">
      <c r="A76" s="2" t="s">
        <v>77</v>
      </c>
      <c r="B76" s="7">
        <v>9</v>
      </c>
      <c r="C76" cm="1">
        <f t="array" ref="C76">_xlfn.IFS(A76&lt;= "F", $F$2, A76 &lt;= "M", $F$3, A76 &lt;= "Z",$F$4)</f>
        <v>1</v>
      </c>
      <c r="D76" s="9" cm="1">
        <f t="array" ref="D76">_xlfn.IFS(C76=$F$2,B76*($H$2/$G$2), C76=$F$3,B76*($H$3/$G$3),C76=$F$4,B76*($H$4/$G$4))</f>
        <v>27</v>
      </c>
    </row>
    <row r="77" spans="1:4" ht="12.5" x14ac:dyDescent="0.25">
      <c r="A77" s="2" t="s">
        <v>78</v>
      </c>
      <c r="B77" s="7">
        <v>10</v>
      </c>
      <c r="C77" cm="1">
        <f t="array" ref="C77">_xlfn.IFS(A77&lt;= "F", $F$2, A77 &lt;= "M", $F$3, A77 &lt;= "Z",$F$4)</f>
        <v>1</v>
      </c>
      <c r="D77" s="9" cm="1">
        <f t="array" ref="D77">_xlfn.IFS(C77=$F$2,B77*($H$2/$G$2), C77=$F$3,B77*($H$3/$G$3),C77=$F$4,B77*($H$4/$G$4))</f>
        <v>30</v>
      </c>
    </row>
    <row r="78" spans="1:4" ht="12.5" x14ac:dyDescent="0.25">
      <c r="A78" s="2" t="s">
        <v>79</v>
      </c>
      <c r="B78" s="7">
        <v>0.5</v>
      </c>
      <c r="C78" cm="1">
        <f t="array" ref="C78">_xlfn.IFS(A78&lt;= "F", $F$2, A78 &lt;= "M", $F$3, A78 &lt;= "Z",$F$4)</f>
        <v>1</v>
      </c>
      <c r="D78" s="9" cm="1">
        <f t="array" ref="D78">_xlfn.IFS(C78=$F$2,B78*($H$2/$G$2), C78=$F$3,B78*($H$3/$G$3),C78=$F$4,B78*($H$4/$G$4))</f>
        <v>1.5</v>
      </c>
    </row>
    <row r="79" spans="1:4" ht="12.5" x14ac:dyDescent="0.25">
      <c r="A79" s="2" t="s">
        <v>80</v>
      </c>
      <c r="B79" s="7">
        <v>1</v>
      </c>
      <c r="C79" cm="1">
        <f t="array" ref="C79">_xlfn.IFS(A79&lt;= "F", $F$2, A79 &lt;= "M", $F$3, A79 &lt;= "Z",$F$4)</f>
        <v>2</v>
      </c>
      <c r="D79" s="9" cm="1">
        <f t="array" ref="D79">_xlfn.IFS(C79=$F$2,B79*($H$2/$G$2), C79=$F$3,B79*($H$3/$G$3),C79=$F$4,B79*($H$4/$G$4))</f>
        <v>2</v>
      </c>
    </row>
    <row r="80" spans="1:4" ht="12.5" x14ac:dyDescent="0.25">
      <c r="A80" s="2" t="s">
        <v>81</v>
      </c>
      <c r="B80" s="7">
        <v>2</v>
      </c>
      <c r="C80" cm="1">
        <f t="array" ref="C80">_xlfn.IFS(A80&lt;= "F", $F$2, A80 &lt;= "M", $F$3, A80 &lt;= "Z",$F$4)</f>
        <v>2</v>
      </c>
      <c r="D80" s="9" cm="1">
        <f t="array" ref="D80">_xlfn.IFS(C80=$F$2,B80*($H$2/$G$2), C80=$F$3,B80*($H$3/$G$3),C80=$F$4,B80*($H$4/$G$4))</f>
        <v>4</v>
      </c>
    </row>
    <row r="81" spans="1:4" ht="12.5" x14ac:dyDescent="0.25">
      <c r="A81" s="2" t="s">
        <v>82</v>
      </c>
      <c r="B81" s="7">
        <v>3</v>
      </c>
      <c r="C81" cm="1">
        <f t="array" ref="C81">_xlfn.IFS(A81&lt;= "F", $F$2, A81 &lt;= "M", $F$3, A81 &lt;= "Z",$F$4)</f>
        <v>2</v>
      </c>
      <c r="D81" s="9" cm="1">
        <f t="array" ref="D81">_xlfn.IFS(C81=$F$2,B81*($H$2/$G$2), C81=$F$3,B81*($H$3/$G$3),C81=$F$4,B81*($H$4/$G$4))</f>
        <v>6</v>
      </c>
    </row>
    <row r="82" spans="1:4" ht="12.5" x14ac:dyDescent="0.25">
      <c r="A82" s="2" t="s">
        <v>83</v>
      </c>
      <c r="B82" s="7">
        <v>4</v>
      </c>
      <c r="C82" cm="1">
        <f t="array" ref="C82">_xlfn.IFS(A82&lt;= "F", $F$2, A82 &lt;= "M", $F$3, A82 &lt;= "Z",$F$4)</f>
        <v>2</v>
      </c>
      <c r="D82" s="9" cm="1">
        <f t="array" ref="D82">_xlfn.IFS(C82=$F$2,B82*($H$2/$G$2), C82=$F$3,B82*($H$3/$G$3),C82=$F$4,B82*($H$4/$G$4))</f>
        <v>8</v>
      </c>
    </row>
    <row r="83" spans="1:4" ht="12.5" x14ac:dyDescent="0.25">
      <c r="A83" s="2" t="s">
        <v>84</v>
      </c>
      <c r="B83" s="7">
        <v>5</v>
      </c>
      <c r="C83" cm="1">
        <f t="array" ref="C83">_xlfn.IFS(A83&lt;= "F", $F$2, A83 &lt;= "M", $F$3, A83 &lt;= "Z",$F$4)</f>
        <v>2</v>
      </c>
      <c r="D83" s="9" cm="1">
        <f t="array" ref="D83">_xlfn.IFS(C83=$F$2,B83*($H$2/$G$2), C83=$F$3,B83*($H$3/$G$3),C83=$F$4,B83*($H$4/$G$4))</f>
        <v>10</v>
      </c>
    </row>
    <row r="84" spans="1:4" ht="12.5" x14ac:dyDescent="0.25">
      <c r="A84" s="2" t="s">
        <v>85</v>
      </c>
      <c r="B84" s="7">
        <v>6</v>
      </c>
      <c r="C84" cm="1">
        <f t="array" ref="C84">_xlfn.IFS(A84&lt;= "F", $F$2, A84 &lt;= "M", $F$3, A84 &lt;= "Z",$F$4)</f>
        <v>2</v>
      </c>
      <c r="D84" s="9" cm="1">
        <f t="array" ref="D84">_xlfn.IFS(C84=$F$2,B84*($H$2/$G$2), C84=$F$3,B84*($H$3/$G$3),C84=$F$4,B84*($H$4/$G$4))</f>
        <v>12</v>
      </c>
    </row>
    <row r="85" spans="1:4" ht="12.5" x14ac:dyDescent="0.25">
      <c r="A85" s="2" t="s">
        <v>86</v>
      </c>
      <c r="B85" s="7">
        <v>7</v>
      </c>
      <c r="C85" cm="1">
        <f t="array" ref="C85">_xlfn.IFS(A85&lt;= "F", $F$2, A85 &lt;= "M", $F$3, A85 &lt;= "Z",$F$4)</f>
        <v>2</v>
      </c>
      <c r="D85" s="9" cm="1">
        <f t="array" ref="D85">_xlfn.IFS(C85=$F$2,B85*($H$2/$G$2), C85=$F$3,B85*($H$3/$G$3),C85=$F$4,B85*($H$4/$G$4))</f>
        <v>14</v>
      </c>
    </row>
    <row r="86" spans="1:4" ht="12.5" x14ac:dyDescent="0.25">
      <c r="A86" s="2" t="s">
        <v>87</v>
      </c>
      <c r="B86" s="7">
        <v>8</v>
      </c>
      <c r="C86" cm="1">
        <f t="array" ref="C86">_xlfn.IFS(A86&lt;= "F", $F$2, A86 &lt;= "M", $F$3, A86 &lt;= "Z",$F$4)</f>
        <v>0</v>
      </c>
      <c r="D86" s="9" cm="1">
        <f t="array" ref="D86">_xlfn.IFS(C86=$F$2,B86*($H$2/$G$2), C86=$F$3,B86*($H$3/$G$3),C86=$F$4,B86*($H$4/$G$4))</f>
        <v>32</v>
      </c>
    </row>
    <row r="87" spans="1:4" ht="12.5" x14ac:dyDescent="0.25">
      <c r="A87" s="2" t="s">
        <v>88</v>
      </c>
      <c r="B87" s="7">
        <v>9</v>
      </c>
      <c r="C87" cm="1">
        <f t="array" ref="C87">_xlfn.IFS(A87&lt;= "F", $F$2, A87 &lt;= "M", $F$3, A87 &lt;= "Z",$F$4)</f>
        <v>0</v>
      </c>
      <c r="D87" s="9" cm="1">
        <f t="array" ref="D87">_xlfn.IFS(C87=$F$2,B87*($H$2/$G$2), C87=$F$3,B87*($H$3/$G$3),C87=$F$4,B87*($H$4/$G$4))</f>
        <v>36</v>
      </c>
    </row>
    <row r="88" spans="1:4" ht="12.5" x14ac:dyDescent="0.25">
      <c r="A88" s="2" t="s">
        <v>89</v>
      </c>
      <c r="B88" s="7">
        <v>10</v>
      </c>
      <c r="C88" cm="1">
        <f t="array" ref="C88">_xlfn.IFS(A88&lt;= "F", $F$2, A88 &lt;= "M", $F$3, A88 &lt;= "Z",$F$4)</f>
        <v>0</v>
      </c>
      <c r="D88" s="9" cm="1">
        <f t="array" ref="D88">_xlfn.IFS(C88=$F$2,B88*($H$2/$G$2), C88=$F$3,B88*($H$3/$G$3),C88=$F$4,B88*($H$4/$G$4))</f>
        <v>40</v>
      </c>
    </row>
    <row r="89" spans="1:4" ht="12.5" x14ac:dyDescent="0.25">
      <c r="A89" s="2" t="s">
        <v>90</v>
      </c>
      <c r="B89" s="7">
        <v>0.5</v>
      </c>
      <c r="C89" cm="1">
        <f t="array" ref="C89">_xlfn.IFS(A89&lt;= "F", $F$2, A89 &lt;= "M", $F$3, A89 &lt;= "Z",$F$4)</f>
        <v>1</v>
      </c>
      <c r="D89" s="9" cm="1">
        <f t="array" ref="D89">_xlfn.IFS(C89=$F$2,B89*($H$2/$G$2), C89=$F$3,B89*($H$3/$G$3),C89=$F$4,B89*($H$4/$G$4))</f>
        <v>1.5</v>
      </c>
    </row>
    <row r="90" spans="1:4" ht="12.5" x14ac:dyDescent="0.25">
      <c r="A90" s="2" t="s">
        <v>91</v>
      </c>
      <c r="B90" s="7">
        <v>1</v>
      </c>
      <c r="C90" cm="1">
        <f t="array" ref="C90">_xlfn.IFS(A90&lt;= "F", $F$2, A90 &lt;= "M", $F$3, A90 &lt;= "Z",$F$4)</f>
        <v>1</v>
      </c>
      <c r="D90" s="9" cm="1">
        <f t="array" ref="D90">_xlfn.IFS(C90=$F$2,B90*($H$2/$G$2), C90=$F$3,B90*($H$3/$G$3),C90=$F$4,B90*($H$4/$G$4))</f>
        <v>3</v>
      </c>
    </row>
    <row r="91" spans="1:4" ht="12.5" x14ac:dyDescent="0.25">
      <c r="A91" s="2" t="s">
        <v>92</v>
      </c>
      <c r="B91" s="7">
        <v>2</v>
      </c>
      <c r="C91" cm="1">
        <f t="array" ref="C91">_xlfn.IFS(A91&lt;= "F", $F$2, A91 &lt;= "M", $F$3, A91 &lt;= "Z",$F$4)</f>
        <v>1</v>
      </c>
      <c r="D91" s="9" cm="1">
        <f t="array" ref="D91">_xlfn.IFS(C91=$F$2,B91*($H$2/$G$2), C91=$F$3,B91*($H$3/$G$3),C91=$F$4,B91*($H$4/$G$4))</f>
        <v>6</v>
      </c>
    </row>
    <row r="92" spans="1:4" ht="12.5" x14ac:dyDescent="0.25">
      <c r="A92" s="2" t="s">
        <v>93</v>
      </c>
      <c r="B92" s="7">
        <v>3</v>
      </c>
      <c r="C92" cm="1">
        <f t="array" ref="C92">_xlfn.IFS(A92&lt;= "F", $F$2, A92 &lt;= "M", $F$3, A92 &lt;= "Z",$F$4)</f>
        <v>2</v>
      </c>
      <c r="D92" s="9" cm="1">
        <f t="array" ref="D92">_xlfn.IFS(C92=$F$2,B92*($H$2/$G$2), C92=$F$3,B92*($H$3/$G$3),C92=$F$4,B92*($H$4/$G$4))</f>
        <v>6</v>
      </c>
    </row>
    <row r="93" spans="1:4" ht="12.5" x14ac:dyDescent="0.25">
      <c r="A93" s="2" t="s">
        <v>94</v>
      </c>
      <c r="B93" s="7">
        <v>4</v>
      </c>
      <c r="C93" cm="1">
        <f t="array" ref="C93">_xlfn.IFS(A93&lt;= "F", $F$2, A93 &lt;= "M", $F$3, A93 &lt;= "Z",$F$4)</f>
        <v>2</v>
      </c>
      <c r="D93" s="9" cm="1">
        <f t="array" ref="D93">_xlfn.IFS(C93=$F$2,B93*($H$2/$G$2), C93=$F$3,B93*($H$3/$G$3),C93=$F$4,B93*($H$4/$G$4))</f>
        <v>8</v>
      </c>
    </row>
    <row r="94" spans="1:4" ht="12.5" x14ac:dyDescent="0.25">
      <c r="A94" s="2" t="s">
        <v>95</v>
      </c>
      <c r="B94" s="7">
        <v>5</v>
      </c>
      <c r="C94" cm="1">
        <f t="array" ref="C94">_xlfn.IFS(A94&lt;= "F", $F$2, A94 &lt;= "M", $F$3, A94 &lt;= "Z",$F$4)</f>
        <v>2</v>
      </c>
      <c r="D94" s="9" cm="1">
        <f t="array" ref="D94">_xlfn.IFS(C94=$F$2,B94*($H$2/$G$2), C94=$F$3,B94*($H$3/$G$3),C94=$F$4,B94*($H$4/$G$4))</f>
        <v>10</v>
      </c>
    </row>
    <row r="95" spans="1:4" ht="12.5" x14ac:dyDescent="0.25">
      <c r="A95" s="2" t="s">
        <v>96</v>
      </c>
      <c r="B95" s="7">
        <v>6</v>
      </c>
      <c r="C95" cm="1">
        <f t="array" ref="C95">_xlfn.IFS(A95&lt;= "F", $F$2, A95 &lt;= "M", $F$3, A95 &lt;= "Z",$F$4)</f>
        <v>2</v>
      </c>
      <c r="D95" s="9" cm="1">
        <f t="array" ref="D95">_xlfn.IFS(C95=$F$2,B95*($H$2/$G$2), C95=$F$3,B95*($H$3/$G$3),C95=$F$4,B95*($H$4/$G$4))</f>
        <v>12</v>
      </c>
    </row>
    <row r="96" spans="1:4" ht="12.5" x14ac:dyDescent="0.25">
      <c r="A96" s="2" t="s">
        <v>97</v>
      </c>
      <c r="B96" s="7">
        <v>7</v>
      </c>
      <c r="C96" cm="1">
        <f t="array" ref="C96">_xlfn.IFS(A96&lt;= "F", $F$2, A96 &lt;= "M", $F$3, A96 &lt;= "Z",$F$4)</f>
        <v>2</v>
      </c>
      <c r="D96" s="9" cm="1">
        <f t="array" ref="D96">_xlfn.IFS(C96=$F$2,B96*($H$2/$G$2), C96=$F$3,B96*($H$3/$G$3),C96=$F$4,B96*($H$4/$G$4))</f>
        <v>14</v>
      </c>
    </row>
    <row r="97" spans="1:4" ht="12.5" x14ac:dyDescent="0.25">
      <c r="A97" s="2" t="s">
        <v>98</v>
      </c>
      <c r="B97" s="7">
        <v>8</v>
      </c>
      <c r="C97" cm="1">
        <f t="array" ref="C97">_xlfn.IFS(A97&lt;= "F", $F$2, A97 &lt;= "M", $F$3, A97 &lt;= "Z",$F$4)</f>
        <v>2</v>
      </c>
      <c r="D97" s="9" cm="1">
        <f t="array" ref="D97">_xlfn.IFS(C97=$F$2,B97*($H$2/$G$2), C97=$F$3,B97*($H$3/$G$3),C97=$F$4,B97*($H$4/$G$4))</f>
        <v>16</v>
      </c>
    </row>
    <row r="98" spans="1:4" ht="12.5" x14ac:dyDescent="0.25">
      <c r="A98" s="2" t="s">
        <v>99</v>
      </c>
      <c r="B98" s="7">
        <v>9</v>
      </c>
      <c r="C98" cm="1">
        <f t="array" ref="C98">_xlfn.IFS(A98&lt;= "F", $F$2, A98 &lt;= "M", $F$3, A98 &lt;= "Z",$F$4)</f>
        <v>2</v>
      </c>
      <c r="D98" s="9" cm="1">
        <f t="array" ref="D98">_xlfn.IFS(C98=$F$2,B98*($H$2/$G$2), C98=$F$3,B98*($H$3/$G$3),C98=$F$4,B98*($H$4/$G$4))</f>
        <v>18</v>
      </c>
    </row>
    <row r="99" spans="1:4" ht="12.5" x14ac:dyDescent="0.25">
      <c r="A99" s="2" t="s">
        <v>100</v>
      </c>
      <c r="B99" s="7">
        <v>10</v>
      </c>
      <c r="C99" cm="1">
        <f t="array" ref="C99">_xlfn.IFS(A99&lt;= "F", $F$2, A99 &lt;= "M", $F$3, A99 &lt;= "Z",$F$4)</f>
        <v>0</v>
      </c>
      <c r="D99" s="9" cm="1">
        <f t="array" ref="D99">_xlfn.IFS(C99=$F$2,B99*($H$2/$G$2), C99=$F$3,B99*($H$3/$G$3),C99=$F$4,B99*($H$4/$G$4))</f>
        <v>40</v>
      </c>
    </row>
    <row r="100" spans="1:4" ht="12.5" x14ac:dyDescent="0.25">
      <c r="A100" s="2" t="s">
        <v>101</v>
      </c>
      <c r="B100" s="7">
        <v>0.5</v>
      </c>
      <c r="C100" cm="1">
        <f t="array" ref="C100">_xlfn.IFS(A100&lt;= "F", $F$2, A100 &lt;= "M", $F$3, A100 &lt;= "Z",$F$4)</f>
        <v>0</v>
      </c>
      <c r="D100" s="9" cm="1">
        <f t="array" ref="D100">_xlfn.IFS(C100=$F$2,B100*($H$2/$G$2), C100=$F$3,B100*($H$3/$G$3),C100=$F$4,B100*($H$4/$G$4))</f>
        <v>2</v>
      </c>
    </row>
    <row r="101" spans="1:4" ht="12.5" x14ac:dyDescent="0.25">
      <c r="A101" s="2" t="s">
        <v>102</v>
      </c>
      <c r="B101" s="7">
        <v>1</v>
      </c>
      <c r="C101" cm="1">
        <f t="array" ref="C101">_xlfn.IFS(A101&lt;= "F", $F$2, A101 &lt;= "M", $F$3, A101 &lt;= "Z",$F$4)</f>
        <v>0</v>
      </c>
      <c r="D101" s="9" cm="1">
        <f t="array" ref="D101">_xlfn.IFS(C101=$F$2,B101*($H$2/$G$2), C101=$F$3,B101*($H$3/$G$3),C101=$F$4,B101*($H$4/$G$4))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E16" sqref="E16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.5" thickBot="1" x14ac:dyDescent="0.35">
      <c r="A1" s="1" t="s">
        <v>103</v>
      </c>
      <c r="B1" s="1" t="s">
        <v>104</v>
      </c>
      <c r="C1" s="1" t="s">
        <v>3</v>
      </c>
      <c r="D1" s="15" t="s">
        <v>113</v>
      </c>
      <c r="E1" s="16" t="s">
        <v>114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 t="s">
        <v>105</v>
      </c>
      <c r="B2" s="2">
        <v>55</v>
      </c>
      <c r="D2" s="13" t="s">
        <v>105</v>
      </c>
      <c r="E2" s="14">
        <f>COUNTIF($A$2:$A$47,D2)</f>
        <v>11</v>
      </c>
    </row>
    <row r="3" spans="1:26" ht="15.75" customHeight="1" x14ac:dyDescent="0.3">
      <c r="A3" s="2" t="s">
        <v>106</v>
      </c>
      <c r="B3" s="2">
        <v>70</v>
      </c>
      <c r="C3" s="2">
        <v>80</v>
      </c>
      <c r="D3" s="12" t="s">
        <v>106</v>
      </c>
      <c r="E3" s="10">
        <f t="shared" ref="E3:E6" si="0">COUNTIF($A$2:$A$47,D3)</f>
        <v>14</v>
      </c>
    </row>
    <row r="4" spans="1:26" ht="15.75" customHeight="1" x14ac:dyDescent="0.3">
      <c r="A4" s="2" t="s">
        <v>107</v>
      </c>
      <c r="B4" s="2">
        <v>40</v>
      </c>
      <c r="C4" s="2">
        <v>60</v>
      </c>
      <c r="D4" s="12" t="s">
        <v>107</v>
      </c>
      <c r="E4" s="10">
        <f t="shared" si="0"/>
        <v>11</v>
      </c>
    </row>
    <row r="5" spans="1:26" ht="15.75" customHeight="1" x14ac:dyDescent="0.3">
      <c r="A5" s="2" t="s">
        <v>105</v>
      </c>
      <c r="B5" s="2">
        <v>20</v>
      </c>
      <c r="C5" s="2">
        <v>100</v>
      </c>
      <c r="D5" s="12" t="s">
        <v>108</v>
      </c>
      <c r="E5" s="10">
        <f t="shared" si="0"/>
        <v>7</v>
      </c>
    </row>
    <row r="6" spans="1:26" ht="15.75" customHeight="1" x14ac:dyDescent="0.3">
      <c r="A6" s="2" t="s">
        <v>108</v>
      </c>
      <c r="B6" s="2">
        <v>90</v>
      </c>
      <c r="C6" s="2">
        <v>30</v>
      </c>
      <c r="D6" s="12" t="s">
        <v>109</v>
      </c>
      <c r="E6" s="10">
        <f t="shared" si="0"/>
        <v>3</v>
      </c>
    </row>
    <row r="7" spans="1:26" ht="15.75" customHeight="1" x14ac:dyDescent="0.25">
      <c r="A7" s="2" t="s">
        <v>106</v>
      </c>
      <c r="B7" s="2">
        <v>50</v>
      </c>
      <c r="C7" s="2">
        <v>40</v>
      </c>
    </row>
    <row r="8" spans="1:26" ht="15.75" customHeight="1" x14ac:dyDescent="0.25">
      <c r="A8" s="2" t="s">
        <v>107</v>
      </c>
      <c r="B8" s="2">
        <v>60</v>
      </c>
      <c r="C8" s="2">
        <v>55</v>
      </c>
    </row>
    <row r="9" spans="1:26" ht="15.75" customHeight="1" x14ac:dyDescent="0.3">
      <c r="A9" s="2" t="s">
        <v>105</v>
      </c>
      <c r="B9" s="2">
        <v>45</v>
      </c>
      <c r="D9" s="11" t="s">
        <v>115</v>
      </c>
      <c r="E9" s="11" t="s">
        <v>104</v>
      </c>
    </row>
    <row r="10" spans="1:26" ht="15.75" customHeight="1" x14ac:dyDescent="0.3">
      <c r="A10" s="2" t="s">
        <v>106</v>
      </c>
      <c r="B10" s="2">
        <v>25</v>
      </c>
      <c r="C10" s="2">
        <v>85</v>
      </c>
      <c r="D10" s="12" t="s">
        <v>105</v>
      </c>
      <c r="E10" s="10">
        <f>SUMIF($A$2:$A$47,D10,$B$2:$B$47)</f>
        <v>525</v>
      </c>
    </row>
    <row r="11" spans="1:26" ht="15.75" customHeight="1" x14ac:dyDescent="0.3">
      <c r="A11" s="2" t="s">
        <v>108</v>
      </c>
      <c r="B11" s="2">
        <v>35</v>
      </c>
      <c r="C11" s="2">
        <v>50</v>
      </c>
      <c r="D11" s="12" t="s">
        <v>106</v>
      </c>
      <c r="E11" s="10">
        <f t="shared" ref="E11:E14" si="1">SUMIF($A$2:$A$47,D11,$B$2:$B$47)</f>
        <v>755</v>
      </c>
    </row>
    <row r="12" spans="1:26" ht="15.75" customHeight="1" x14ac:dyDescent="0.3">
      <c r="A12" s="2" t="s">
        <v>109</v>
      </c>
      <c r="B12" s="2">
        <v>60</v>
      </c>
      <c r="C12" s="2">
        <v>95</v>
      </c>
      <c r="D12" s="12" t="s">
        <v>107</v>
      </c>
      <c r="E12" s="10">
        <f t="shared" si="1"/>
        <v>555</v>
      </c>
    </row>
    <row r="13" spans="1:26" ht="15.75" customHeight="1" x14ac:dyDescent="0.3">
      <c r="A13" s="2" t="s">
        <v>107</v>
      </c>
      <c r="B13" s="2">
        <v>80</v>
      </c>
      <c r="D13" s="12" t="s">
        <v>108</v>
      </c>
      <c r="E13" s="10">
        <f t="shared" si="1"/>
        <v>380</v>
      </c>
    </row>
    <row r="14" spans="1:26" ht="15.75" customHeight="1" x14ac:dyDescent="0.3">
      <c r="A14" s="2" t="s">
        <v>106</v>
      </c>
      <c r="B14" s="2">
        <v>40</v>
      </c>
      <c r="C14" s="2">
        <v>45</v>
      </c>
      <c r="D14" s="12" t="s">
        <v>109</v>
      </c>
      <c r="E14" s="10">
        <f t="shared" si="1"/>
        <v>160</v>
      </c>
    </row>
    <row r="15" spans="1:26" ht="15.75" customHeight="1" x14ac:dyDescent="0.25">
      <c r="A15" s="2" t="s">
        <v>105</v>
      </c>
      <c r="B15" s="2">
        <v>65</v>
      </c>
      <c r="C15" s="2">
        <v>65</v>
      </c>
    </row>
    <row r="16" spans="1:26" ht="15.75" customHeight="1" x14ac:dyDescent="0.3">
      <c r="A16" s="2" t="s">
        <v>107</v>
      </c>
      <c r="B16" s="2">
        <v>55</v>
      </c>
      <c r="C16" s="2">
        <v>30</v>
      </c>
      <c r="D16" s="12" t="s">
        <v>116</v>
      </c>
      <c r="E16" s="10">
        <f>SUMIFS($A$2:$A$47,$C$2:$C$47,A2,$B$2:$B$47,D17)</f>
        <v>0</v>
      </c>
    </row>
    <row r="17" spans="1:5" ht="15.75" customHeight="1" x14ac:dyDescent="0.3">
      <c r="A17" s="2" t="s">
        <v>108</v>
      </c>
      <c r="B17" s="2">
        <v>70</v>
      </c>
      <c r="D17" s="12" t="s">
        <v>117</v>
      </c>
      <c r="E17" s="10"/>
    </row>
    <row r="18" spans="1:5" ht="15.75" customHeight="1" x14ac:dyDescent="0.25">
      <c r="A18" s="2" t="s">
        <v>106</v>
      </c>
      <c r="B18" s="2">
        <v>45</v>
      </c>
      <c r="C18" s="2">
        <v>80</v>
      </c>
    </row>
    <row r="19" spans="1:5" ht="15.75" customHeight="1" x14ac:dyDescent="0.25">
      <c r="A19" s="2" t="s">
        <v>105</v>
      </c>
      <c r="B19" s="2">
        <v>25</v>
      </c>
      <c r="C19" s="2">
        <v>60</v>
      </c>
    </row>
    <row r="20" spans="1:5" ht="15.75" customHeight="1" x14ac:dyDescent="0.25">
      <c r="A20" s="2" t="s">
        <v>106</v>
      </c>
      <c r="B20" s="2">
        <v>35</v>
      </c>
    </row>
    <row r="21" spans="1:5" ht="15.75" customHeight="1" x14ac:dyDescent="0.25">
      <c r="A21" s="2" t="s">
        <v>107</v>
      </c>
      <c r="B21" s="2">
        <v>60</v>
      </c>
      <c r="C21" s="2">
        <v>30</v>
      </c>
    </row>
    <row r="22" spans="1:5" ht="15.75" customHeight="1" x14ac:dyDescent="0.25">
      <c r="A22" s="2" t="s">
        <v>105</v>
      </c>
      <c r="B22" s="2">
        <v>70</v>
      </c>
      <c r="C22" s="2">
        <v>40</v>
      </c>
    </row>
    <row r="23" spans="1:5" ht="15.75" customHeight="1" x14ac:dyDescent="0.25">
      <c r="A23" s="2" t="s">
        <v>106</v>
      </c>
      <c r="B23" s="2">
        <v>45</v>
      </c>
      <c r="C23" s="2">
        <v>55</v>
      </c>
    </row>
    <row r="24" spans="1:5" ht="15.75" customHeight="1" x14ac:dyDescent="0.25">
      <c r="A24" s="2" t="s">
        <v>108</v>
      </c>
      <c r="B24" s="2">
        <v>25</v>
      </c>
      <c r="C24" s="2">
        <v>70</v>
      </c>
    </row>
    <row r="25" spans="1:5" ht="15.75" customHeight="1" x14ac:dyDescent="0.25">
      <c r="A25" s="2" t="s">
        <v>109</v>
      </c>
      <c r="B25" s="2">
        <v>35</v>
      </c>
    </row>
    <row r="26" spans="1:5" ht="15.75" customHeight="1" x14ac:dyDescent="0.25">
      <c r="A26" s="2" t="s">
        <v>107</v>
      </c>
      <c r="B26" s="2">
        <v>60</v>
      </c>
      <c r="C26" s="2">
        <v>50</v>
      </c>
    </row>
    <row r="27" spans="1:5" ht="15.75" customHeight="1" x14ac:dyDescent="0.25">
      <c r="A27" s="2" t="s">
        <v>106</v>
      </c>
      <c r="B27" s="2">
        <v>80</v>
      </c>
      <c r="C27" s="2">
        <v>95</v>
      </c>
    </row>
    <row r="28" spans="1:5" ht="15.75" customHeight="1" x14ac:dyDescent="0.25">
      <c r="A28" s="2" t="s">
        <v>105</v>
      </c>
      <c r="B28" s="2">
        <v>40</v>
      </c>
      <c r="C28" s="2">
        <v>75</v>
      </c>
    </row>
    <row r="29" spans="1:5" ht="15.75" customHeight="1" x14ac:dyDescent="0.25">
      <c r="A29" s="2" t="s">
        <v>107</v>
      </c>
      <c r="B29" s="2">
        <v>65</v>
      </c>
      <c r="C29" s="2">
        <v>45</v>
      </c>
    </row>
    <row r="30" spans="1:5" ht="15.75" customHeight="1" x14ac:dyDescent="0.25">
      <c r="A30" s="2" t="s">
        <v>106</v>
      </c>
      <c r="B30" s="2">
        <v>55</v>
      </c>
      <c r="C30" s="2">
        <v>65</v>
      </c>
    </row>
    <row r="31" spans="1:5" ht="15.75" customHeight="1" x14ac:dyDescent="0.25">
      <c r="A31" s="2" t="s">
        <v>108</v>
      </c>
      <c r="B31" s="2">
        <v>70</v>
      </c>
      <c r="C31" s="2">
        <v>30</v>
      </c>
    </row>
    <row r="32" spans="1:5" ht="15.75" customHeight="1" x14ac:dyDescent="0.25">
      <c r="A32" s="2" t="s">
        <v>105</v>
      </c>
      <c r="B32" s="2">
        <v>45</v>
      </c>
    </row>
    <row r="33" spans="1:3" ht="15.75" customHeight="1" x14ac:dyDescent="0.25">
      <c r="A33" s="2" t="s">
        <v>106</v>
      </c>
      <c r="B33" s="2">
        <v>25</v>
      </c>
      <c r="C33" s="2">
        <v>80</v>
      </c>
    </row>
    <row r="34" spans="1:3" ht="15.75" customHeight="1" x14ac:dyDescent="0.25">
      <c r="A34" s="2" t="s">
        <v>107</v>
      </c>
      <c r="B34" s="2">
        <v>35</v>
      </c>
      <c r="C34" s="2">
        <v>60</v>
      </c>
    </row>
    <row r="35" spans="1:3" ht="12.5" x14ac:dyDescent="0.25">
      <c r="A35" s="2" t="s">
        <v>105</v>
      </c>
      <c r="B35" s="2">
        <v>60</v>
      </c>
      <c r="C35" s="2">
        <v>100</v>
      </c>
    </row>
    <row r="36" spans="1:3" ht="12.5" x14ac:dyDescent="0.25">
      <c r="A36" s="2" t="s">
        <v>106</v>
      </c>
      <c r="B36" s="2">
        <v>80</v>
      </c>
      <c r="C36" s="2">
        <v>30</v>
      </c>
    </row>
    <row r="37" spans="1:3" ht="12.5" x14ac:dyDescent="0.25">
      <c r="A37" s="2" t="s">
        <v>108</v>
      </c>
      <c r="B37" s="2">
        <v>40</v>
      </c>
    </row>
    <row r="38" spans="1:3" ht="12.5" x14ac:dyDescent="0.25">
      <c r="A38" s="2" t="s">
        <v>109</v>
      </c>
      <c r="B38" s="2">
        <v>65</v>
      </c>
      <c r="C38" s="2">
        <v>55</v>
      </c>
    </row>
    <row r="39" spans="1:3" ht="12.5" x14ac:dyDescent="0.25">
      <c r="A39" s="2" t="s">
        <v>107</v>
      </c>
      <c r="B39" s="2">
        <v>55</v>
      </c>
      <c r="C39" s="2">
        <v>70</v>
      </c>
    </row>
    <row r="40" spans="1:3" ht="12.5" x14ac:dyDescent="0.25">
      <c r="A40" s="2" t="s">
        <v>106</v>
      </c>
      <c r="B40" s="2">
        <v>70</v>
      </c>
      <c r="C40" s="2">
        <v>85</v>
      </c>
    </row>
    <row r="41" spans="1:3" ht="12.5" x14ac:dyDescent="0.25">
      <c r="A41" s="2" t="s">
        <v>105</v>
      </c>
      <c r="B41" s="2">
        <v>40</v>
      </c>
      <c r="C41" s="2">
        <v>50</v>
      </c>
    </row>
    <row r="42" spans="1:3" ht="12.5" x14ac:dyDescent="0.25">
      <c r="A42" s="2" t="s">
        <v>107</v>
      </c>
      <c r="B42" s="2">
        <v>20</v>
      </c>
      <c r="C42" s="2">
        <v>95</v>
      </c>
    </row>
    <row r="43" spans="1:3" ht="12.5" x14ac:dyDescent="0.25">
      <c r="A43" s="2" t="s">
        <v>106</v>
      </c>
      <c r="B43" s="2">
        <v>90</v>
      </c>
      <c r="C43" s="2">
        <v>75</v>
      </c>
    </row>
    <row r="44" spans="1:3" ht="12.5" x14ac:dyDescent="0.25">
      <c r="A44" s="2" t="s">
        <v>108</v>
      </c>
      <c r="B44" s="2">
        <v>50</v>
      </c>
      <c r="C44" s="2">
        <v>45</v>
      </c>
    </row>
    <row r="45" spans="1:3" ht="12.5" x14ac:dyDescent="0.25">
      <c r="A45" s="2" t="s">
        <v>105</v>
      </c>
      <c r="B45" s="2">
        <v>60</v>
      </c>
      <c r="C45" s="2">
        <v>65</v>
      </c>
    </row>
    <row r="46" spans="1:3" ht="12.5" x14ac:dyDescent="0.25">
      <c r="A46" s="2" t="s">
        <v>106</v>
      </c>
      <c r="B46" s="2">
        <v>45</v>
      </c>
    </row>
    <row r="47" spans="1:3" ht="12.5" x14ac:dyDescent="0.25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Della Gatta</cp:lastModifiedBy>
  <dcterms:modified xsi:type="dcterms:W3CDTF">2025-11-08T18:51:10Z</dcterms:modified>
</cp:coreProperties>
</file>