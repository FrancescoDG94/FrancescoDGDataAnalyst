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8_{F37BD1B5-A561-4E2F-BACA-A90AA16E18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dot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C15" i="1"/>
  <c r="D15" i="1"/>
  <c r="E15" i="1"/>
  <c r="F15" i="1"/>
  <c r="G15" i="1"/>
  <c r="H15" i="1"/>
  <c r="I15" i="1"/>
  <c r="J15" i="1"/>
  <c r="K15" i="1"/>
  <c r="B15" i="1"/>
  <c r="E3" i="1"/>
  <c r="E4" i="1"/>
  <c r="E5" i="1"/>
  <c r="E6" i="1"/>
  <c r="E7" i="1"/>
  <c r="E8" i="1"/>
  <c r="E9" i="1"/>
  <c r="E10" i="1"/>
  <c r="E11" i="1"/>
  <c r="E2" i="1"/>
  <c r="G2" i="1" a="1"/>
  <c r="G2" i="1" s="1"/>
  <c r="H2" i="1" s="1"/>
  <c r="H3" i="1" l="1"/>
  <c r="H5" i="1"/>
  <c r="H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<sst xmlns="http://schemas.openxmlformats.org/spreadsheetml/2006/main" count="42" uniqueCount="20">
  <si>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</si>
  <si>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</si>
  <si>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</si>
  <si>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</si>
  <si>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</si>
  <si>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</si>
  <si>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</si>
  <si>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</si>
  <si>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</si>
  <si>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</si>
  <si>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</si>
  <si>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</si>
  <si>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</si>
  <si>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</si>
  <si>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</si>
  <si>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</si>
  <si>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</si>
  <si>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</si>
  <si>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</si>
  <si>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Spesa Totale Azienda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</si>
</sst>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Spesa Totale Prodotti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C-400A-990A-BDF79B891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9805343"/>
        <c:axId val="1059799103"/>
      </c:barChart>
      <c:catAx>
        <c:axId val="105980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9799103"/>
        <c:crosses val="autoZero"/>
        <c:auto val="1"/>
        <c:lblAlgn val="ctr"/>
        <c:lblOffset val="100"/>
        <c:noMultiLvlLbl val="0"/>
      </c:catAx>
      <c:valAx>
        <c:axId val="10597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980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layout>
        <c:manualLayout>
          <c:xMode val="edge"/>
          <c:yMode val="edge"/>
          <c:x val="0.238678019484852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Prodotti!$H$1</c:f>
              <c:strCache>
                <c:ptCount val="1"/>
                <c:pt idx="0">
                  <c:v>Spesa Totale Azienda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Prodotti!$G$2:$G$5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Prodotti!$H$2:$H$5</c:f>
              <c:numCache>
                <c:formatCode>#,##0.00\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C-4FB6-9317-89540EC73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1546351"/>
        <c:axId val="1061546831"/>
      </c:barChart>
      <c:catAx>
        <c:axId val="106154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61546831"/>
        <c:crosses val="autoZero"/>
        <c:auto val="1"/>
        <c:lblAlgn val="ctr"/>
        <c:lblOffset val="100"/>
        <c:noMultiLvlLbl val="0"/>
      </c:catAx>
      <c:valAx>
        <c:axId val="10615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61546351"/>
        <c:crosses val="autoZero"/>
        <c:crossBetween val="between"/>
      </c:valAx>
      <c:spPr>
        <a:noFill/>
        <a:ln cmpd="sng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Spesa</a:t>
            </a:r>
            <a:r>
              <a:rPr lang="it-IT" baseline="0"/>
              <a:t> totale prodotti x Azienda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Prodotti!$B$14</c:f>
              <c:strCache>
                <c:ptCount val="1"/>
                <c:pt idx="0">
                  <c:v>Tecnologia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Prodotti!$B$15:$B$18</c:f>
              <c:numCache>
                <c:formatCode>General</c:formatCode>
                <c:ptCount val="4"/>
                <c:pt idx="0">
                  <c:v>7875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4-4606-A18C-F09843DC4918}"/>
            </c:ext>
          </c:extLst>
        </c:ser>
        <c:ser>
          <c:idx val="1"/>
          <c:order val="1"/>
          <c:tx>
            <c:strRef>
              <c:f>Prodotti!$C$14</c:f>
              <c:strCache>
                <c:ptCount val="1"/>
                <c:pt idx="0">
                  <c:v>Cibo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Prodotti!$C$15:$C$18</c:f>
              <c:numCache>
                <c:formatCode>General</c:formatCode>
                <c:ptCount val="4"/>
                <c:pt idx="0">
                  <c:v>10200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4-4606-A18C-F09843DC4918}"/>
            </c:ext>
          </c:extLst>
        </c:ser>
        <c:ser>
          <c:idx val="2"/>
          <c:order val="2"/>
          <c:tx>
            <c:strRef>
              <c:f>Prodotti!$D$14</c:f>
              <c:strCache>
                <c:ptCount val="1"/>
                <c:pt idx="0">
                  <c:v>Pannelli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Prodotti!$D$15:$D$18</c:f>
              <c:numCache>
                <c:formatCode>General</c:formatCode>
                <c:ptCount val="4"/>
                <c:pt idx="0">
                  <c:v>0</c:v>
                </c:pt>
                <c:pt idx="1">
                  <c:v>9800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4-4606-A18C-F09843DC4918}"/>
            </c:ext>
          </c:extLst>
        </c:ser>
        <c:ser>
          <c:idx val="3"/>
          <c:order val="3"/>
          <c:tx>
            <c:strRef>
              <c:f>Prodotti!$E$14</c:f>
              <c:strCache>
                <c:ptCount val="1"/>
                <c:pt idx="0">
                  <c:v>Quanti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Prodotti!$E$15:$E$18</c:f>
              <c:numCache>
                <c:formatCode>General</c:formatCode>
                <c:ptCount val="4"/>
                <c:pt idx="0">
                  <c:v>7500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04-4606-A18C-F09843DC4918}"/>
            </c:ext>
          </c:extLst>
        </c:ser>
        <c:ser>
          <c:idx val="4"/>
          <c:order val="4"/>
          <c:tx>
            <c:strRef>
              <c:f>Prodotti!$F$14</c:f>
              <c:strCache>
                <c:ptCount val="1"/>
                <c:pt idx="0">
                  <c:v>Infinito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Prodotti!$F$15:$F$18</c:f>
              <c:numCache>
                <c:formatCode>General</c:formatCode>
                <c:ptCount val="4"/>
                <c:pt idx="0">
                  <c:v>0</c:v>
                </c:pt>
                <c:pt idx="1">
                  <c:v>9750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4-43E1-BBAF-1A544FC611F2}"/>
            </c:ext>
          </c:extLst>
        </c:ser>
        <c:ser>
          <c:idx val="5"/>
          <c:order val="5"/>
          <c:tx>
            <c:strRef>
              <c:f>Prodotti!$G$14</c:f>
              <c:strCache>
                <c:ptCount val="1"/>
                <c:pt idx="0">
                  <c:v>Crema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Prodotti!$G$15:$G$18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13125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4-43E1-BBAF-1A544FC611F2}"/>
            </c:ext>
          </c:extLst>
        </c:ser>
        <c:ser>
          <c:idx val="6"/>
          <c:order val="6"/>
          <c:tx>
            <c:strRef>
              <c:f>Prodotti!$H$14</c:f>
              <c:strCache>
                <c:ptCount val="1"/>
                <c:pt idx="0">
                  <c:v>Acqua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Prodotti!$H$15:$H$18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12600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4-43E1-BBAF-1A544FC611F2}"/>
            </c:ext>
          </c:extLst>
        </c:ser>
        <c:ser>
          <c:idx val="7"/>
          <c:order val="7"/>
          <c:tx>
            <c:strRef>
              <c:f>Prodotti!$I$14</c:f>
              <c:strCache>
                <c:ptCount val="1"/>
                <c:pt idx="0">
                  <c:v>Orizzonte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Prodotti!$I$15:$I$18</c:f>
              <c:numCache>
                <c:formatCode>General</c:formatCode>
                <c:ptCount val="4"/>
                <c:pt idx="0">
                  <c:v>0</c:v>
                </c:pt>
                <c:pt idx="1">
                  <c:v>11550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64-43E1-BBAF-1A544FC611F2}"/>
            </c:ext>
          </c:extLst>
        </c:ser>
        <c:ser>
          <c:idx val="8"/>
          <c:order val="8"/>
          <c:tx>
            <c:strRef>
              <c:f>Prodotti!$J$14</c:f>
              <c:strCache>
                <c:ptCount val="1"/>
                <c:pt idx="0">
                  <c:v>Pianeta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Prodotti!$J$15:$J$18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64-43E1-BBAF-1A544FC611F2}"/>
            </c:ext>
          </c:extLst>
        </c:ser>
        <c:ser>
          <c:idx val="9"/>
          <c:order val="9"/>
          <c:tx>
            <c:strRef>
              <c:f>Prodotti!$K$14</c:f>
              <c:strCache>
                <c:ptCount val="1"/>
                <c:pt idx="0">
                  <c:v>Vibrazione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;\-#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Prodotti!$K$15:$K$18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64-43E1-BBAF-1A544FC611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310960879"/>
        <c:axId val="2055274271"/>
      </c:barChart>
      <c:catAx>
        <c:axId val="1310960879"/>
        <c:scaling>
          <c:orientation val="minMax"/>
        </c:scaling>
        <c:delete val="0"/>
        <c:axPos val="b"/>
        <c:numFmt formatCode="#.##0;\-#.##0;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5274271"/>
        <c:crosses val="autoZero"/>
        <c:auto val="1"/>
        <c:lblAlgn val="ctr"/>
        <c:lblOffset val="100"/>
        <c:noMultiLvlLbl val="0"/>
      </c:catAx>
      <c:valAx>
        <c:axId val="205527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1096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Prodotti!$H$1</c:f>
              <c:strCache>
                <c:ptCount val="1"/>
                <c:pt idx="0">
                  <c:v>Spesa Totale Azienda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6-4FDC-98D8-6C3CBAACFD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56-4FDC-98D8-6C3CBAACFD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56-4FDC-98D8-6C3CBAACFD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56-4FDC-98D8-6C3CBAACFD7C}"/>
              </c:ext>
            </c:extLst>
          </c:dPt>
          <c:cat>
            <c:strRef>
              <c:f>Prodotti!$G$2:$G$5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Prodotti!$H$2:$H$5</c:f>
              <c:numCache>
                <c:formatCode>#,##0.00\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0-4994-95C5-9B1093920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5</xdr:col>
      <xdr:colOff>174625</xdr:colOff>
      <xdr:row>36</xdr:row>
      <xdr:rowOff>184150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D47C2A4A-6993-5810-D640-F24C21851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92075</xdr:colOff>
      <xdr:row>43</xdr:row>
      <xdr:rowOff>19050</xdr:rowOff>
    </xdr:from>
    <xdr:to>
      <xdr:col>5</xdr:col>
      <xdr:colOff>336550</xdr:colOff>
      <xdr:row>57</xdr:row>
      <xdr:rowOff>6350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FA392A1-EF70-C639-5FC5-47DA2EB24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466726</xdr:colOff>
      <xdr:row>21</xdr:row>
      <xdr:rowOff>155575</xdr:rowOff>
    </xdr:from>
    <xdr:to>
      <xdr:col>12</xdr:col>
      <xdr:colOff>365125</xdr:colOff>
      <xdr:row>38</xdr:row>
      <xdr:rowOff>130175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D4792D6-4A5F-58A6-9DCD-EEB76B2FE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187324</xdr:colOff>
      <xdr:row>62</xdr:row>
      <xdr:rowOff>6350</xdr:rowOff>
    </xdr:from>
    <xdr:to>
      <xdr:col>5</xdr:col>
      <xdr:colOff>323849</xdr:colOff>
      <xdr:row>75</xdr:row>
      <xdr:rowOff>190500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BB77C26-E828-D35C-D711-337380C24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8"/>
  <sheetViews>
    <sheetView tabSelected="1" view="pageLayout" topLeftCell="A60" zoomScaleNormal="100" workbookViewId="0">
      <selection activeCell="A60" sqref="A60:XFD60"/>
    </sheetView>
  </sheetViews>
  <sheetFormatPr defaultColWidth="12.54296875" defaultRowHeight="15.75" customHeight="1" x14ac:dyDescent="0.25"/>
  <cols>
    <col min="1" max="1" width="18" bestFit="1" customWidth="1"/>
    <col min="2" max="2" width="10.26953125" bestFit="1" customWidth="1"/>
    <col min="3" max="3" width="8.6328125" bestFit="1" customWidth="1"/>
    <col min="4" max="4" width="7.54296875" bestFit="1" customWidth="1"/>
    <col min="5" max="5" width="10.453125" bestFit="1" customWidth="1"/>
    <col min="6" max="6" width="6.7265625" bestFit="1" customWidth="1"/>
    <col min="7" max="7" width="18" bestFit="1" customWidth="1"/>
    <col min="8" max="8" width="21.1796875" bestFit="1" customWidth="1"/>
    <col min="9" max="9" width="9.08984375" bestFit="1" customWidth="1"/>
    <col min="10" max="10" width="7.1796875" bestFit="1" customWidth="1"/>
    <col min="11" max="11" width="9.81640625" bestFit="1" customWidth="1"/>
    <col min="12" max="12" width="6.54296875" bestFit="1" customWidth="1"/>
    <col min="13" max="13" width="6.7265625" bestFit="1" customWidth="1"/>
    <col min="14" max="14" width="6.36328125" bestFit="1" customWidth="1"/>
    <col min="15" max="15" width="6.1796875" bestFit="1" customWidth="1"/>
    <col min="16" max="16" width="9.08984375" bestFit="1" customWidth="1"/>
    <col min="17" max="17" width="7.1796875" bestFit="1" customWidth="1"/>
    <col min="18" max="18" width="9.81640625" bestFit="1" customWidth="1"/>
  </cols>
  <sheetData>
    <row r="1" spans="1:25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0</v>
      </c>
      <c r="H1" s="6" t="s">
        <v>19</v>
      </c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7" t="s">
        <v>5</v>
      </c>
      <c r="B2" s="2" t="s">
        <v>6</v>
      </c>
      <c r="C2" s="3">
        <v>500</v>
      </c>
      <c r="D2" s="4">
        <v>15.75</v>
      </c>
      <c r="E2" s="5">
        <f>C2*D2</f>
        <v>7875</v>
      </c>
      <c r="G2" t="str" cm="1">
        <f t="array" ref="G2:G5">_xlfn.UNIQUE(A2:A11)</f>
        <v>Tech Innovations Ltd.</v>
      </c>
      <c r="H2" s="5">
        <f>SUMIFS($E$2:$E$11,$A$2:$A$11,G2)</f>
        <v>25575</v>
      </c>
    </row>
    <row r="3" spans="1:25" ht="15.75" customHeight="1" x14ac:dyDescent="0.25">
      <c r="A3" s="2" t="s">
        <v>5</v>
      </c>
      <c r="B3" s="2" t="s">
        <v>7</v>
      </c>
      <c r="C3" s="3">
        <v>1200</v>
      </c>
      <c r="D3" s="4">
        <v>8.5</v>
      </c>
      <c r="E3" s="5">
        <f t="shared" ref="E3:E11" si="0">C3*D3</f>
        <v>10200</v>
      </c>
      <c r="G3" t="str">
        <v>SolarTech Solutions</v>
      </c>
      <c r="H3" s="5">
        <f>SUMIFS($E$2:$E$11,$A$2:$A$11,G3)</f>
        <v>31100</v>
      </c>
    </row>
    <row r="4" spans="1:25" ht="15.75" customHeight="1" x14ac:dyDescent="0.25">
      <c r="A4" s="2" t="s">
        <v>8</v>
      </c>
      <c r="B4" s="2" t="s">
        <v>9</v>
      </c>
      <c r="C4" s="3">
        <v>800</v>
      </c>
      <c r="D4" s="4">
        <v>12.25</v>
      </c>
      <c r="E4" s="5">
        <f t="shared" si="0"/>
        <v>9800</v>
      </c>
      <c r="G4" t="str">
        <v>AquaLux Dynamics</v>
      </c>
      <c r="H4" s="5">
        <f>SUMIFS($E$2:$E$11,$A$2:$A$11,G4)</f>
        <v>37725</v>
      </c>
    </row>
    <row r="5" spans="1:25" ht="15.75" customHeight="1" x14ac:dyDescent="0.25">
      <c r="A5" s="2" t="s">
        <v>5</v>
      </c>
      <c r="B5" s="2" t="s">
        <v>10</v>
      </c>
      <c r="C5" s="3">
        <v>300</v>
      </c>
      <c r="D5" s="4">
        <v>25</v>
      </c>
      <c r="E5" s="5">
        <f t="shared" si="0"/>
        <v>7500</v>
      </c>
      <c r="G5" t="str">
        <v>EcoVibe Solutions</v>
      </c>
      <c r="H5" s="5">
        <f>SUMIFS($E$2:$E$11,$A$2:$A$11,G5)</f>
        <v>13500</v>
      </c>
    </row>
    <row r="6" spans="1:25" ht="15.75" customHeight="1" x14ac:dyDescent="0.25">
      <c r="A6" s="2" t="s">
        <v>8</v>
      </c>
      <c r="B6" s="2" t="s">
        <v>11</v>
      </c>
      <c r="C6" s="3">
        <v>1500</v>
      </c>
      <c r="D6" s="4">
        <v>6.5</v>
      </c>
      <c r="E6" s="5">
        <f t="shared" si="0"/>
        <v>9750</v>
      </c>
    </row>
    <row r="7" spans="1:25" ht="15.75" customHeight="1" x14ac:dyDescent="0.25">
      <c r="A7" s="2" t="s">
        <v>12</v>
      </c>
      <c r="B7" s="2" t="s">
        <v>13</v>
      </c>
      <c r="C7" s="3">
        <v>700</v>
      </c>
      <c r="D7" s="4">
        <v>18.75</v>
      </c>
      <c r="E7" s="5">
        <f t="shared" si="0"/>
        <v>13125</v>
      </c>
    </row>
    <row r="8" spans="1:25" ht="15.75" customHeight="1" x14ac:dyDescent="0.25">
      <c r="A8" s="2" t="s">
        <v>12</v>
      </c>
      <c r="B8" s="2" t="s">
        <v>14</v>
      </c>
      <c r="C8" s="3">
        <v>900</v>
      </c>
      <c r="D8" s="4">
        <v>14</v>
      </c>
      <c r="E8" s="5">
        <f t="shared" si="0"/>
        <v>12600</v>
      </c>
    </row>
    <row r="9" spans="1:25" ht="15.75" customHeight="1" x14ac:dyDescent="0.25">
      <c r="A9" s="2" t="s">
        <v>8</v>
      </c>
      <c r="B9" s="2" t="s">
        <v>15</v>
      </c>
      <c r="C9" s="3">
        <v>1100</v>
      </c>
      <c r="D9" s="4">
        <v>10.5</v>
      </c>
      <c r="E9" s="5">
        <f t="shared" si="0"/>
        <v>11550</v>
      </c>
    </row>
    <row r="10" spans="1:25" ht="15.75" customHeight="1" x14ac:dyDescent="0.25">
      <c r="A10" s="2" t="s">
        <v>12</v>
      </c>
      <c r="B10" s="2" t="s">
        <v>16</v>
      </c>
      <c r="C10" s="3">
        <v>600</v>
      </c>
      <c r="D10" s="4">
        <v>20</v>
      </c>
      <c r="E10" s="5">
        <f t="shared" si="0"/>
        <v>12000</v>
      </c>
    </row>
    <row r="11" spans="1:25" ht="15.75" customHeight="1" x14ac:dyDescent="0.25">
      <c r="A11" s="2" t="s">
        <v>17</v>
      </c>
      <c r="B11" s="2" t="s">
        <v>18</v>
      </c>
      <c r="C11" s="3">
        <v>1000</v>
      </c>
      <c r="D11" s="4">
        <v>13.5</v>
      </c>
      <c r="E11" s="5">
        <f t="shared" si="0"/>
        <v>13500</v>
      </c>
    </row>
    <row r="14" spans="1:25" ht="15.75" customHeight="1" x14ac:dyDescent="0.3">
      <c r="A14" s="1" t="s">
        <v>0</v>
      </c>
      <c r="B14" s="8" t="s">
        <v>6</v>
      </c>
      <c r="C14" s="8" t="s">
        <v>7</v>
      </c>
      <c r="D14" s="8" t="s">
        <v>9</v>
      </c>
      <c r="E14" s="8" t="s">
        <v>10</v>
      </c>
      <c r="F14" s="8" t="s">
        <v>11</v>
      </c>
      <c r="G14" s="8" t="s">
        <v>13</v>
      </c>
      <c r="H14" s="8" t="s">
        <v>14</v>
      </c>
      <c r="I14" s="8" t="s">
        <v>15</v>
      </c>
      <c r="J14" s="8" t="s">
        <v>16</v>
      </c>
      <c r="K14" s="8" t="s">
        <v>18</v>
      </c>
    </row>
    <row r="15" spans="1:25" ht="15.75" customHeight="1" x14ac:dyDescent="0.25">
      <c r="A15" t="s">
        <v>5</v>
      </c>
      <c r="B15">
        <f t="shared" ref="B15:K18" si="1">SUMIFS($E$2:$E$11,$A$2:$A$11,$A15,$B$2:$B$11,B$14)</f>
        <v>7875</v>
      </c>
      <c r="C15">
        <f t="shared" si="1"/>
        <v>10200</v>
      </c>
      <c r="D15">
        <f t="shared" si="1"/>
        <v>0</v>
      </c>
      <c r="E15">
        <f t="shared" si="1"/>
        <v>7500</v>
      </c>
      <c r="F15">
        <f t="shared" si="1"/>
        <v>0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</row>
    <row r="16" spans="1:25" ht="15.75" customHeight="1" x14ac:dyDescent="0.25">
      <c r="A16" t="s">
        <v>8</v>
      </c>
      <c r="B16">
        <f t="shared" si="1"/>
        <v>0</v>
      </c>
      <c r="C16">
        <f t="shared" si="1"/>
        <v>0</v>
      </c>
      <c r="D16">
        <f t="shared" si="1"/>
        <v>9800</v>
      </c>
      <c r="E16">
        <f t="shared" si="1"/>
        <v>0</v>
      </c>
      <c r="F16">
        <f t="shared" si="1"/>
        <v>9750</v>
      </c>
      <c r="G16">
        <f t="shared" si="1"/>
        <v>0</v>
      </c>
      <c r="H16">
        <f t="shared" si="1"/>
        <v>0</v>
      </c>
      <c r="I16">
        <f t="shared" si="1"/>
        <v>11550</v>
      </c>
      <c r="J16">
        <f t="shared" si="1"/>
        <v>0</v>
      </c>
      <c r="K16">
        <f t="shared" si="1"/>
        <v>0</v>
      </c>
    </row>
    <row r="17" spans="1:11" ht="15.75" customHeight="1" x14ac:dyDescent="0.25">
      <c r="A17" t="s">
        <v>12</v>
      </c>
      <c r="B17">
        <f t="shared" si="1"/>
        <v>0</v>
      </c>
      <c r="C17">
        <f t="shared" si="1"/>
        <v>0</v>
      </c>
      <c r="D17">
        <f t="shared" si="1"/>
        <v>0</v>
      </c>
      <c r="E17">
        <f t="shared" si="1"/>
        <v>0</v>
      </c>
      <c r="F17">
        <f t="shared" si="1"/>
        <v>0</v>
      </c>
      <c r="G17">
        <f t="shared" si="1"/>
        <v>13125</v>
      </c>
      <c r="H17">
        <f t="shared" si="1"/>
        <v>12600</v>
      </c>
      <c r="I17">
        <f t="shared" si="1"/>
        <v>0</v>
      </c>
      <c r="J17">
        <f t="shared" si="1"/>
        <v>12000</v>
      </c>
      <c r="K17">
        <f t="shared" si="1"/>
        <v>0</v>
      </c>
    </row>
    <row r="18" spans="1:11" ht="15.75" customHeight="1" x14ac:dyDescent="0.25">
      <c r="A18" t="s">
        <v>17</v>
      </c>
      <c r="B18">
        <f t="shared" si="1"/>
        <v>0</v>
      </c>
      <c r="C18">
        <f t="shared" si="1"/>
        <v>0</v>
      </c>
      <c r="D18">
        <f t="shared" si="1"/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13500</v>
      </c>
    </row>
  </sheetData>
  <pageMargins left="0.19685039370078741" right="0.19685039370078741" top="0.78740157480314965" bottom="0.78740157480314965" header="0.31496062992125984" footer="0.31496062992125984"/>
  <pageSetup paperSize="9" scale="73" fitToHeight="0" orientation="portrait" r:id="rId1"/>
  <headerFooter>
    <oddHeader>&amp;C&amp;"-,Grassetto"&amp;12Spese recenti</oddHeader>
    <oddFooter>&amp;L&amp;P&amp;C&amp;D</oddFooter>
  </headerFooter>
  <rowBreaks count="3" manualBreakCount="3">
    <brk id="19" max="16383" man="1"/>
    <brk id="40" max="16383" man="1"/>
    <brk id="5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Della Gatta</dc:creator>
  <cp:lastModifiedBy>Francesco Della Gatta</cp:lastModifiedBy>
  <cp:lastPrinted>2025-11-08T17:52:00Z</cp:lastPrinted>
  <dcterms:created xsi:type="dcterms:W3CDTF">2025-11-08T17:16:19Z</dcterms:created>
  <dcterms:modified xsi:type="dcterms:W3CDTF">2025-11-08T17:52:25Z</dcterms:modified>
</cp:coreProperties>
</file>